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h\Documents\@CA2601\02 Technical Training\08-Price.Form.Calculation\"/>
    </mc:Choice>
  </mc:AlternateContent>
  <xr:revisionPtr revIDLastSave="0" documentId="13_ncr:1_{FF4862E9-4816-4341-B4D5-1E93001355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oling-Calc-New" sheetId="17" r:id="rId1"/>
    <sheet name="Cooling-Calc-Old" sheetId="19" r:id="rId2"/>
    <sheet name="TowerTabCalc" sheetId="18" r:id="rId3"/>
  </sheets>
  <externalReferences>
    <externalReference r:id="rId4"/>
    <externalReference r:id="rId5"/>
  </externalReferences>
  <definedNames>
    <definedName name="_0_" localSheetId="2">#REF!</definedName>
    <definedName name="_0_">#REF!</definedName>
    <definedName name="_Key1" localSheetId="2" hidden="1">#REF!</definedName>
    <definedName name="_Key1" hidden="1">#REF!</definedName>
    <definedName name="_Order1" hidden="1">255</definedName>
    <definedName name="_Sort" localSheetId="2" hidden="1">#REF!</definedName>
    <definedName name="_Sort" hidden="1">#REF!</definedName>
    <definedName name="\0" localSheetId="0">'[1]Blowdown Savings with Chem Cost'!#REF!</definedName>
    <definedName name="\0" localSheetId="1">'[1]Blowdown Savings with Chem Cost'!#REF!</definedName>
    <definedName name="\0" localSheetId="2">'[1]Blowdown Savings with Chem Cost'!#REF!</definedName>
    <definedName name="\0">'[1]Blowdown Savings with Chem Cost'!#REF!</definedName>
    <definedName name="\A" localSheetId="2">#REF!</definedName>
    <definedName name="\A">#REF!</definedName>
    <definedName name="_xlnm.Criteria" localSheetId="2">#REF!</definedName>
    <definedName name="_xlnm.Criteria">#REF!</definedName>
    <definedName name="_xlnm.Database" localSheetId="2">#REF!</definedName>
    <definedName name="_xlnm.Database">#REF!</definedName>
    <definedName name="_xlnm.Extract" localSheetId="2">#REF!</definedName>
    <definedName name="_xlnm.Extract">#REF!</definedName>
    <definedName name="_xlnm.Print_Area" localSheetId="0">'Cooling-Calc-New'!$B$2:$P$77</definedName>
    <definedName name="_xlnm.Print_Area" localSheetId="1">'Cooling-Calc-Old'!$B$2:$P$66</definedName>
    <definedName name="_xlnm.Print_Area" localSheetId="2">TowerTabCalc!$B$2:$M$31</definedName>
    <definedName name="PRINT_AREA_MI">'[1]Blowdown Savings with Chem Cost'!$D$4:$M$34</definedName>
  </definedNames>
  <calcPr calcId="191029"/>
</workbook>
</file>

<file path=xl/calcChain.xml><?xml version="1.0" encoding="utf-8"?>
<calcChain xmlns="http://schemas.openxmlformats.org/spreadsheetml/2006/main">
  <c r="H77" i="17" l="1"/>
  <c r="H76" i="17"/>
  <c r="H75" i="17"/>
  <c r="H72" i="17"/>
  <c r="H71" i="17"/>
  <c r="H66" i="17"/>
  <c r="H65" i="17"/>
  <c r="H64" i="17"/>
  <c r="H63" i="17"/>
  <c r="H60" i="17"/>
  <c r="H59" i="17"/>
  <c r="H52" i="17"/>
  <c r="H51" i="17"/>
  <c r="H49" i="17"/>
  <c r="H47" i="17"/>
  <c r="H46" i="17" l="1"/>
  <c r="H44" i="17"/>
  <c r="H43" i="17"/>
  <c r="H39" i="17"/>
  <c r="H38" i="17"/>
  <c r="H36" i="17"/>
  <c r="H35" i="17"/>
  <c r="H34" i="17"/>
  <c r="H33" i="17"/>
  <c r="H31" i="17"/>
  <c r="H30" i="17"/>
  <c r="H29" i="17"/>
  <c r="H28" i="17"/>
  <c r="H26" i="17"/>
  <c r="H23" i="17"/>
  <c r="H22" i="17"/>
  <c r="H21" i="17"/>
  <c r="H20" i="17"/>
  <c r="H19" i="17"/>
  <c r="H18" i="17"/>
  <c r="H17" i="17"/>
  <c r="H16" i="17"/>
  <c r="H15" i="17"/>
  <c r="F63" i="17"/>
  <c r="I63" i="17" s="1"/>
  <c r="F65" i="17"/>
  <c r="I65" i="17" s="1"/>
  <c r="F64" i="17"/>
  <c r="F66" i="17"/>
  <c r="F67" i="17"/>
  <c r="F68" i="17"/>
  <c r="F61" i="17"/>
  <c r="I61" i="17" s="1"/>
  <c r="S30" i="17"/>
  <c r="H68" i="17" l="1"/>
  <c r="F72" i="17"/>
  <c r="H70" i="17"/>
  <c r="I70" i="17" s="1"/>
  <c r="H69" i="17"/>
  <c r="I69" i="17" s="1"/>
  <c r="I72" i="17" l="1"/>
  <c r="I68" i="17"/>
  <c r="H67" i="17" l="1"/>
  <c r="I67" i="17" s="1"/>
  <c r="C7" i="17"/>
  <c r="H32" i="17" l="1"/>
  <c r="H25" i="17"/>
  <c r="H24" i="17"/>
  <c r="C64" i="19"/>
  <c r="I61" i="19"/>
  <c r="F61" i="19"/>
  <c r="I60" i="19"/>
  <c r="H60" i="19"/>
  <c r="F60" i="19"/>
  <c r="F59" i="19"/>
  <c r="I59" i="19" s="1"/>
  <c r="I58" i="19"/>
  <c r="F58" i="19"/>
  <c r="F57" i="19"/>
  <c r="I57" i="19" s="1"/>
  <c r="F56" i="19"/>
  <c r="I56" i="19" s="1"/>
  <c r="H50" i="19"/>
  <c r="H49" i="19"/>
  <c r="C49" i="19"/>
  <c r="E49" i="19" s="1"/>
  <c r="F49" i="19" s="1"/>
  <c r="G49" i="19" s="1"/>
  <c r="I49" i="19" s="1"/>
  <c r="H48" i="19"/>
  <c r="H47" i="19"/>
  <c r="H46" i="19"/>
  <c r="E46" i="19"/>
  <c r="F46" i="19" s="1"/>
  <c r="G46" i="19" s="1"/>
  <c r="H44" i="19"/>
  <c r="F44" i="19"/>
  <c r="G44" i="19" s="1"/>
  <c r="I44" i="19" s="1"/>
  <c r="C44" i="19"/>
  <c r="H43" i="19"/>
  <c r="C43" i="19"/>
  <c r="H41" i="19"/>
  <c r="C40" i="19"/>
  <c r="H39" i="19"/>
  <c r="D35" i="19"/>
  <c r="O35" i="19" s="1"/>
  <c r="E33" i="19"/>
  <c r="F33" i="19" s="1"/>
  <c r="G33" i="19" s="1"/>
  <c r="I33" i="19" s="1"/>
  <c r="C33" i="19"/>
  <c r="O33" i="19" s="1"/>
  <c r="C31" i="19"/>
  <c r="O31" i="19" s="1"/>
  <c r="C27" i="19"/>
  <c r="O27" i="19" s="1"/>
  <c r="O26" i="19"/>
  <c r="E26" i="19"/>
  <c r="F26" i="19" s="1"/>
  <c r="G26" i="19" s="1"/>
  <c r="I26" i="19" s="1"/>
  <c r="C26" i="19"/>
  <c r="C21" i="19"/>
  <c r="C20" i="19"/>
  <c r="C18" i="19"/>
  <c r="C17" i="19"/>
  <c r="H12" i="19"/>
  <c r="H11" i="19"/>
  <c r="G10" i="19"/>
  <c r="F10" i="19"/>
  <c r="Q9" i="19"/>
  <c r="C9" i="19"/>
  <c r="Q8" i="19"/>
  <c r="Q7" i="19"/>
  <c r="N7" i="19"/>
  <c r="H7" i="19"/>
  <c r="H8" i="19" s="1"/>
  <c r="H10" i="19" s="1"/>
  <c r="C7" i="19"/>
  <c r="C10" i="19" s="1"/>
  <c r="C11" i="19" s="1"/>
  <c r="Q6" i="19"/>
  <c r="H6" i="19"/>
  <c r="C6" i="19"/>
  <c r="E47" i="19" s="1"/>
  <c r="F47" i="19" s="1"/>
  <c r="G47" i="19" s="1"/>
  <c r="I47" i="19" s="1"/>
  <c r="Q5" i="19"/>
  <c r="Q10" i="19" s="1"/>
  <c r="N5" i="19"/>
  <c r="H5" i="19"/>
  <c r="N4" i="19"/>
  <c r="C6" i="17"/>
  <c r="C5" i="18"/>
  <c r="D5" i="18" s="1"/>
  <c r="E5" i="18"/>
  <c r="F5" i="18" s="1"/>
  <c r="E11" i="18" s="1"/>
  <c r="H5" i="18"/>
  <c r="I5" i="18"/>
  <c r="J5" i="18" s="1"/>
  <c r="K5" i="18"/>
  <c r="L5" i="18"/>
  <c r="C6" i="18"/>
  <c r="E6" i="18"/>
  <c r="I6" i="18"/>
  <c r="K6" i="18"/>
  <c r="C7" i="18"/>
  <c r="D7" i="18" s="1"/>
  <c r="E7" i="18"/>
  <c r="F7" i="18" s="1"/>
  <c r="H7" i="18"/>
  <c r="I7" i="18"/>
  <c r="J7" i="18"/>
  <c r="K7" i="18"/>
  <c r="L7" i="18" s="1"/>
  <c r="C8" i="18"/>
  <c r="E8" i="18"/>
  <c r="I8" i="18"/>
  <c r="K8" i="18"/>
  <c r="D9" i="18"/>
  <c r="F9" i="18"/>
  <c r="H9" i="18"/>
  <c r="J9" i="18"/>
  <c r="L9" i="18"/>
  <c r="D10" i="18"/>
  <c r="F10" i="18"/>
  <c r="H10" i="18"/>
  <c r="J10" i="18"/>
  <c r="L10" i="18"/>
  <c r="G15" i="18"/>
  <c r="C15" i="18" s="1"/>
  <c r="D15" i="18" s="1"/>
  <c r="K15" i="18"/>
  <c r="L15" i="18" s="1"/>
  <c r="C16" i="18"/>
  <c r="E16" i="18"/>
  <c r="I16" i="18"/>
  <c r="K16" i="18"/>
  <c r="C17" i="18"/>
  <c r="D17" i="18"/>
  <c r="E17" i="18"/>
  <c r="F17" i="18" s="1"/>
  <c r="H17" i="18"/>
  <c r="I17" i="18"/>
  <c r="J17" i="18" s="1"/>
  <c r="K17" i="18"/>
  <c r="L17" i="18"/>
  <c r="C18" i="18"/>
  <c r="E18" i="18"/>
  <c r="I18" i="18"/>
  <c r="K18" i="18"/>
  <c r="D19" i="18"/>
  <c r="F19" i="18"/>
  <c r="H19" i="18"/>
  <c r="J19" i="18"/>
  <c r="L19" i="18"/>
  <c r="D20" i="18"/>
  <c r="F20" i="18"/>
  <c r="H20" i="18"/>
  <c r="J20" i="18"/>
  <c r="L20" i="18"/>
  <c r="C19" i="17" l="1"/>
  <c r="C26" i="17"/>
  <c r="C30" i="17"/>
  <c r="C28" i="17"/>
  <c r="C31" i="17"/>
  <c r="C18" i="17"/>
  <c r="C17" i="17"/>
  <c r="G43" i="19"/>
  <c r="I46" i="19"/>
  <c r="D22" i="19"/>
  <c r="E31" i="19"/>
  <c r="F31" i="19" s="1"/>
  <c r="G31" i="19" s="1"/>
  <c r="C19" i="19"/>
  <c r="D20" i="19"/>
  <c r="E27" i="19"/>
  <c r="F27" i="19" s="1"/>
  <c r="G27" i="19" s="1"/>
  <c r="I27" i="19" s="1"/>
  <c r="C30" i="19"/>
  <c r="E35" i="19"/>
  <c r="F35" i="19" s="1"/>
  <c r="G35" i="19" s="1"/>
  <c r="I35" i="19" s="1"/>
  <c r="C50" i="19"/>
  <c r="F50" i="19" s="1"/>
  <c r="G50" i="19" s="1"/>
  <c r="I50" i="19" s="1"/>
  <c r="C66" i="19"/>
  <c r="D21" i="19"/>
  <c r="D19" i="19"/>
  <c r="C65" i="19"/>
  <c r="D66" i="19"/>
  <c r="C12" i="19"/>
  <c r="D18" i="19"/>
  <c r="D65" i="19"/>
  <c r="C16" i="19"/>
  <c r="D17" i="19"/>
  <c r="C25" i="19"/>
  <c r="C29" i="19"/>
  <c r="E29" i="19" s="1"/>
  <c r="F29" i="19" s="1"/>
  <c r="G29" i="19" s="1"/>
  <c r="I29" i="19" s="1"/>
  <c r="C32" i="19"/>
  <c r="C38" i="19"/>
  <c r="G40" i="19"/>
  <c r="I40" i="19" s="1"/>
  <c r="C48" i="19"/>
  <c r="O48" i="19" s="1"/>
  <c r="D64" i="19"/>
  <c r="C15" i="19"/>
  <c r="D16" i="19"/>
  <c r="C23" i="19"/>
  <c r="E48" i="19"/>
  <c r="F48" i="19" s="1"/>
  <c r="G48" i="19" s="1"/>
  <c r="I48" i="19" s="1"/>
  <c r="D15" i="19"/>
  <c r="C22" i="19"/>
  <c r="D23" i="19"/>
  <c r="C28" i="19"/>
  <c r="D36" i="19"/>
  <c r="C41" i="19"/>
  <c r="C47" i="19"/>
  <c r="C39" i="19"/>
  <c r="C46" i="19"/>
  <c r="O46" i="19" s="1"/>
  <c r="C51" i="17"/>
  <c r="K21" i="18"/>
  <c r="K11" i="18"/>
  <c r="I11" i="18"/>
  <c r="G11" i="18"/>
  <c r="C21" i="18"/>
  <c r="C11" i="18"/>
  <c r="I15" i="18"/>
  <c r="J15" i="18" s="1"/>
  <c r="I21" i="18" s="1"/>
  <c r="E15" i="18"/>
  <c r="F15" i="18" s="1"/>
  <c r="E21" i="18" s="1"/>
  <c r="H15" i="18"/>
  <c r="G21" i="18" s="1"/>
  <c r="E19" i="19" l="1"/>
  <c r="F19" i="19" s="1"/>
  <c r="G19" i="19" s="1"/>
  <c r="I19" i="19" s="1"/>
  <c r="O19" i="19"/>
  <c r="E36" i="19"/>
  <c r="F36" i="19" s="1"/>
  <c r="G36" i="19" s="1"/>
  <c r="I36" i="19" s="1"/>
  <c r="O36" i="19"/>
  <c r="E17" i="19"/>
  <c r="F17" i="19" s="1"/>
  <c r="G17" i="19" s="1"/>
  <c r="I17" i="19" s="1"/>
  <c r="O17" i="19"/>
  <c r="O21" i="19"/>
  <c r="E21" i="19"/>
  <c r="F21" i="19" s="1"/>
  <c r="G21" i="19" s="1"/>
  <c r="I21" i="19" s="1"/>
  <c r="O22" i="19"/>
  <c r="E22" i="19"/>
  <c r="F22" i="19" s="1"/>
  <c r="G22" i="19" s="1"/>
  <c r="I22" i="19" s="1"/>
  <c r="E16" i="19"/>
  <c r="F16" i="19" s="1"/>
  <c r="G16" i="19" s="1"/>
  <c r="I16" i="19" s="1"/>
  <c r="O16" i="19"/>
  <c r="E64" i="19"/>
  <c r="F64" i="19" s="1"/>
  <c r="G64" i="19" s="1"/>
  <c r="I64" i="19" s="1"/>
  <c r="O64" i="19"/>
  <c r="O23" i="19"/>
  <c r="E23" i="19"/>
  <c r="F23" i="19" s="1"/>
  <c r="G23" i="19" s="1"/>
  <c r="I23" i="19" s="1"/>
  <c r="E65" i="19"/>
  <c r="F65" i="19" s="1"/>
  <c r="G65" i="19" s="1"/>
  <c r="O65" i="19"/>
  <c r="E25" i="19"/>
  <c r="F25" i="19" s="1"/>
  <c r="G25" i="19" s="1"/>
  <c r="I25" i="19" s="1"/>
  <c r="O25" i="19"/>
  <c r="O28" i="19"/>
  <c r="E28" i="19"/>
  <c r="F28" i="19" s="1"/>
  <c r="G28" i="19" s="1"/>
  <c r="I28" i="19" s="1"/>
  <c r="G41" i="19"/>
  <c r="I41" i="19" s="1"/>
  <c r="E18" i="19"/>
  <c r="F18" i="19" s="1"/>
  <c r="G18" i="19" s="1"/>
  <c r="I18" i="19" s="1"/>
  <c r="O18" i="19"/>
  <c r="O15" i="19"/>
  <c r="E15" i="19"/>
  <c r="F15" i="19" s="1"/>
  <c r="G15" i="19" s="1"/>
  <c r="I15" i="19" s="1"/>
  <c r="G38" i="19"/>
  <c r="I38" i="19" s="1"/>
  <c r="O30" i="19"/>
  <c r="E30" i="19"/>
  <c r="F30" i="19" s="1"/>
  <c r="G30" i="19" s="1"/>
  <c r="I30" i="19" s="1"/>
  <c r="I39" i="19"/>
  <c r="G39" i="19"/>
  <c r="E32" i="19"/>
  <c r="F32" i="19" s="1"/>
  <c r="G32" i="19" s="1"/>
  <c r="I32" i="19" s="1"/>
  <c r="O32" i="19"/>
  <c r="O66" i="19"/>
  <c r="E66" i="19"/>
  <c r="F66" i="19" s="1"/>
  <c r="G66" i="19" s="1"/>
  <c r="I66" i="19" s="1"/>
  <c r="I65" i="19"/>
  <c r="O20" i="19"/>
  <c r="E20" i="19"/>
  <c r="F20" i="19" s="1"/>
  <c r="G20" i="19" s="1"/>
  <c r="I20" i="19" s="1"/>
  <c r="F43" i="19"/>
  <c r="E43" i="19" s="1"/>
  <c r="D43" i="19" s="1"/>
  <c r="O43" i="19" s="1"/>
  <c r="I43" i="19"/>
  <c r="C47" i="17"/>
  <c r="F47" i="17" s="1"/>
  <c r="G47" i="17" s="1"/>
  <c r="H42" i="17"/>
  <c r="H50" i="17"/>
  <c r="F62" i="17"/>
  <c r="F59" i="17"/>
  <c r="F60" i="17"/>
  <c r="F79" i="17" l="1"/>
  <c r="D38" i="17"/>
  <c r="E38" i="17" s="1"/>
  <c r="F38" i="17" s="1"/>
  <c r="G38" i="17" s="1"/>
  <c r="I38" i="17" s="1"/>
  <c r="I66" i="17"/>
  <c r="O38" i="17" l="1"/>
  <c r="H53" i="17"/>
  <c r="I62" i="17"/>
  <c r="F71" i="17"/>
  <c r="I71" i="17" s="1"/>
  <c r="I64" i="17"/>
  <c r="H12" i="17"/>
  <c r="H11" i="17"/>
  <c r="G10" i="17"/>
  <c r="F10" i="17"/>
  <c r="Q9" i="17"/>
  <c r="Q8" i="17"/>
  <c r="Q7" i="17"/>
  <c r="H7" i="17"/>
  <c r="H8" i="17" s="1"/>
  <c r="C9" i="17"/>
  <c r="Q6" i="17"/>
  <c r="H6" i="17"/>
  <c r="Q5" i="17"/>
  <c r="H5" i="17"/>
  <c r="N4" i="17"/>
  <c r="I59" i="17"/>
  <c r="N7" i="17" l="1"/>
  <c r="D26" i="17" s="1"/>
  <c r="E51" i="17"/>
  <c r="F51" i="17" s="1"/>
  <c r="G51" i="17" s="1"/>
  <c r="I51" i="17" s="1"/>
  <c r="O51" i="17"/>
  <c r="C23" i="17"/>
  <c r="C16" i="17"/>
  <c r="C42" i="17"/>
  <c r="G42" i="17" s="1"/>
  <c r="I42" i="17" s="1"/>
  <c r="C44" i="17"/>
  <c r="C43" i="17"/>
  <c r="C21" i="17"/>
  <c r="C75" i="17"/>
  <c r="C24" i="17"/>
  <c r="E50" i="17"/>
  <c r="F50" i="17" s="1"/>
  <c r="G50" i="17" s="1"/>
  <c r="I50" i="17" s="1"/>
  <c r="C25" i="17"/>
  <c r="C50" i="17"/>
  <c r="I60" i="17"/>
  <c r="C29" i="17"/>
  <c r="O29" i="17" s="1"/>
  <c r="C36" i="17"/>
  <c r="C15" i="17"/>
  <c r="O30" i="17"/>
  <c r="C53" i="17"/>
  <c r="F53" i="17" s="1"/>
  <c r="C52" i="17"/>
  <c r="E52" i="17" s="1"/>
  <c r="F52" i="17" s="1"/>
  <c r="G52" i="17" s="1"/>
  <c r="I52" i="17" s="1"/>
  <c r="O28" i="17"/>
  <c r="C41" i="17"/>
  <c r="G41" i="17" s="1"/>
  <c r="I41" i="17" s="1"/>
  <c r="O31" i="17"/>
  <c r="C32" i="17"/>
  <c r="E32" i="17" s="1"/>
  <c r="F32" i="17" s="1"/>
  <c r="G32" i="17" s="1"/>
  <c r="I32" i="17" s="1"/>
  <c r="C22" i="17"/>
  <c r="C20" i="17"/>
  <c r="E49" i="17"/>
  <c r="F49" i="17" s="1"/>
  <c r="C46" i="17"/>
  <c r="C49" i="17"/>
  <c r="O49" i="17" s="1"/>
  <c r="Q10" i="17"/>
  <c r="C77" i="17"/>
  <c r="C76" i="17"/>
  <c r="H10" i="17"/>
  <c r="N5" i="17"/>
  <c r="C10" i="17"/>
  <c r="C33" i="17"/>
  <c r="C35" i="17"/>
  <c r="C34" i="17"/>
  <c r="D15" i="17" l="1"/>
  <c r="E26" i="17"/>
  <c r="F26" i="17" s="1"/>
  <c r="G26" i="17" s="1"/>
  <c r="I26" i="17" s="1"/>
  <c r="D19" i="17"/>
  <c r="O19" i="17" s="1"/>
  <c r="D39" i="17"/>
  <c r="E39" i="17" s="1"/>
  <c r="F39" i="17" s="1"/>
  <c r="G39" i="17" s="1"/>
  <c r="I39" i="17" s="1"/>
  <c r="D17" i="17"/>
  <c r="E17" i="17" s="1"/>
  <c r="F17" i="17" s="1"/>
  <c r="G17" i="17" s="1"/>
  <c r="D18" i="17"/>
  <c r="E18" i="17" s="1"/>
  <c r="F18" i="17" s="1"/>
  <c r="G18" i="17" s="1"/>
  <c r="D16" i="17"/>
  <c r="O16" i="17" s="1"/>
  <c r="D23" i="17"/>
  <c r="G43" i="17"/>
  <c r="I43" i="17" s="1"/>
  <c r="G44" i="17"/>
  <c r="I44" i="17" s="1"/>
  <c r="D21" i="17"/>
  <c r="D24" i="17"/>
  <c r="D25" i="17"/>
  <c r="E25" i="17" s="1"/>
  <c r="F25" i="17" s="1"/>
  <c r="G25" i="17" s="1"/>
  <c r="D75" i="17"/>
  <c r="E30" i="17"/>
  <c r="F30" i="17" s="1"/>
  <c r="G30" i="17" s="1"/>
  <c r="I30" i="17" s="1"/>
  <c r="E29" i="17"/>
  <c r="F29" i="17" s="1"/>
  <c r="G29" i="17" s="1"/>
  <c r="I29" i="17" s="1"/>
  <c r="E33" i="17"/>
  <c r="F33" i="17" s="1"/>
  <c r="G33" i="17" s="1"/>
  <c r="O33" i="17"/>
  <c r="E35" i="17"/>
  <c r="F35" i="17" s="1"/>
  <c r="G35" i="17" s="1"/>
  <c r="I35" i="17" s="1"/>
  <c r="O35" i="17"/>
  <c r="E34" i="17"/>
  <c r="F34" i="17" s="1"/>
  <c r="G34" i="17" s="1"/>
  <c r="O34" i="17"/>
  <c r="E36" i="17"/>
  <c r="F36" i="17" s="1"/>
  <c r="G36" i="17" s="1"/>
  <c r="I36" i="17" s="1"/>
  <c r="O36" i="17"/>
  <c r="E31" i="17"/>
  <c r="F31" i="17" s="1"/>
  <c r="G31" i="17" s="1"/>
  <c r="I31" i="17" s="1"/>
  <c r="G49" i="17"/>
  <c r="I49" i="17" s="1"/>
  <c r="D22" i="17"/>
  <c r="D20" i="17"/>
  <c r="G46" i="17"/>
  <c r="F46" i="17" s="1"/>
  <c r="E46" i="17" s="1"/>
  <c r="D46" i="17" s="1"/>
  <c r="O46" i="17" s="1"/>
  <c r="C11" i="17"/>
  <c r="D77" i="17"/>
  <c r="D76" i="17"/>
  <c r="E28" i="17"/>
  <c r="F28" i="17" s="1"/>
  <c r="G28" i="17" s="1"/>
  <c r="I28" i="17" s="1"/>
  <c r="C12" i="17"/>
  <c r="O26" i="17" l="1"/>
  <c r="O39" i="17"/>
  <c r="O20" i="17"/>
  <c r="E19" i="17"/>
  <c r="F19" i="17" s="1"/>
  <c r="G19" i="17" s="1"/>
  <c r="I19" i="17" s="1"/>
  <c r="I18" i="17"/>
  <c r="O18" i="17"/>
  <c r="O17" i="17"/>
  <c r="I17" i="17"/>
  <c r="I47" i="17"/>
  <c r="E24" i="17"/>
  <c r="F24" i="17" s="1"/>
  <c r="G24" i="17" s="1"/>
  <c r="I24" i="17" s="1"/>
  <c r="O24" i="17"/>
  <c r="E16" i="17"/>
  <c r="F16" i="17" s="1"/>
  <c r="G16" i="17" s="1"/>
  <c r="I16" i="17" s="1"/>
  <c r="O25" i="17"/>
  <c r="I25" i="17"/>
  <c r="O75" i="17"/>
  <c r="E75" i="17"/>
  <c r="F75" i="17" s="1"/>
  <c r="G75" i="17" s="1"/>
  <c r="I75" i="17" s="1"/>
  <c r="E22" i="17"/>
  <c r="F22" i="17" s="1"/>
  <c r="G22" i="17" s="1"/>
  <c r="I22" i="17" s="1"/>
  <c r="O22" i="17"/>
  <c r="E20" i="17"/>
  <c r="F20" i="17" s="1"/>
  <c r="G20" i="17" s="1"/>
  <c r="I20" i="17" s="1"/>
  <c r="E21" i="17"/>
  <c r="F21" i="17" s="1"/>
  <c r="G21" i="17" s="1"/>
  <c r="I21" i="17" s="1"/>
  <c r="O21" i="17"/>
  <c r="I46" i="17"/>
  <c r="G53" i="17"/>
  <c r="I53" i="17" s="1"/>
  <c r="O77" i="17"/>
  <c r="E77" i="17"/>
  <c r="F77" i="17" s="1"/>
  <c r="G77" i="17" s="1"/>
  <c r="I77" i="17" s="1"/>
  <c r="E76" i="17"/>
  <c r="F76" i="17" s="1"/>
  <c r="O76" i="17"/>
  <c r="E15" i="17"/>
  <c r="F15" i="17" s="1"/>
  <c r="G15" i="17" s="1"/>
  <c r="I15" i="17" s="1"/>
  <c r="O15" i="17"/>
  <c r="I33" i="17"/>
  <c r="O23" i="17"/>
  <c r="E23" i="17"/>
  <c r="F23" i="17" s="1"/>
  <c r="G23" i="17" s="1"/>
  <c r="I23" i="17" s="1"/>
  <c r="R31" i="17" l="1"/>
  <c r="R29" i="17"/>
  <c r="R32" i="17"/>
  <c r="G76" i="17"/>
  <c r="I76" i="17" s="1"/>
  <c r="R33" i="17" l="1"/>
  <c r="S34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Roh</author>
    <author>BY.Roh</author>
    <author>ROH</author>
    <author>Baeyong Roh</author>
  </authors>
  <commentList>
    <comment ref="C5" authorId="0" shapeId="0" xr:uid="{00000000-0006-0000-0000-000001000000}">
      <text>
        <r>
          <rPr>
            <sz val="12"/>
            <color indexed="81"/>
            <rFont val="굴림"/>
            <family val="3"/>
            <charset val="129"/>
          </rPr>
          <t>타워 외부에 별도의 저수조가 있는 경우</t>
        </r>
      </text>
    </comment>
    <comment ref="N5" authorId="0" shapeId="0" xr:uid="{00000000-0006-0000-0000-000002000000}">
      <text>
        <r>
          <rPr>
            <sz val="12"/>
            <color indexed="81"/>
            <rFont val="Arial"/>
            <family val="2"/>
          </rPr>
          <t xml:space="preserve">= </t>
        </r>
        <r>
          <rPr>
            <sz val="12"/>
            <color indexed="81"/>
            <rFont val="굴림"/>
            <family val="3"/>
            <charset val="129"/>
          </rPr>
          <t>증발량</t>
        </r>
        <r>
          <rPr>
            <sz val="12"/>
            <color indexed="81"/>
            <rFont val="Arial"/>
            <family val="2"/>
          </rPr>
          <t>/(CoC-1)</t>
        </r>
      </text>
    </comment>
    <comment ref="C6" authorId="1" shapeId="0" xr:uid="{00000000-0006-0000-0000-000003000000}">
      <text>
        <r>
          <rPr>
            <sz val="12"/>
            <color indexed="81"/>
            <rFont val="Arial"/>
            <family val="2"/>
          </rPr>
          <t>Induced: 37.85 (10 gal/RT)
Forced: 18.93 (5 gal/RT)
Evacon: 11.36 (3 gal/RT)</t>
        </r>
      </text>
    </comment>
    <comment ref="N6" authorId="1" shapeId="0" xr:uid="{00000000-0006-0000-0000-000004000000}">
      <text>
        <r>
          <rPr>
            <sz val="12"/>
            <color indexed="81"/>
            <rFont val="돋움"/>
            <family val="3"/>
            <charset val="129"/>
          </rPr>
          <t>각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수질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측정항목의</t>
        </r>
        <r>
          <rPr>
            <sz val="12"/>
            <color indexed="81"/>
            <rFont val="Arial"/>
            <family val="2"/>
          </rPr>
          <t xml:space="preserve"> "Cycled" </t>
        </r>
        <r>
          <rPr>
            <sz val="12"/>
            <color indexed="81"/>
            <rFont val="돋움"/>
            <family val="3"/>
            <charset val="129"/>
          </rPr>
          <t xml:space="preserve">숫자가
</t>
        </r>
        <r>
          <rPr>
            <sz val="12"/>
            <color indexed="81"/>
            <rFont val="Arial"/>
            <family val="2"/>
          </rPr>
          <t xml:space="preserve">"Limit" </t>
        </r>
        <r>
          <rPr>
            <sz val="12"/>
            <color indexed="81"/>
            <rFont val="돋움"/>
            <family val="3"/>
            <charset val="129"/>
          </rPr>
          <t>숫자를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초과하지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않도록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조정</t>
        </r>
      </text>
    </comment>
    <comment ref="C7" authorId="1" shapeId="0" xr:uid="{00000000-0006-0000-0000-000005000000}">
      <text>
        <r>
          <rPr>
            <sz val="12"/>
            <color indexed="81"/>
            <rFont val="Arial"/>
            <family val="2"/>
          </rPr>
          <t xml:space="preserve">1 RT = 13 liter/min (Local)
US Towers: 1 RT = 3 gpm (11.355 liter/min)
</t>
        </r>
        <r>
          <rPr>
            <sz val="10"/>
            <color indexed="23"/>
            <rFont val="Arial"/>
            <family val="2"/>
          </rPr>
          <t>AWT: R = 3 gpm (11.355 lpm) x RT (Water-2000 Default)</t>
        </r>
      </text>
    </comment>
    <comment ref="N7" authorId="1" shapeId="0" xr:uid="{00000000-0006-0000-0000-000006000000}">
      <text>
        <r>
          <rPr>
            <sz val="12"/>
            <color indexed="81"/>
            <rFont val="Arial"/>
            <family val="2"/>
          </rPr>
          <t xml:space="preserve">= </t>
        </r>
        <r>
          <rPr>
            <sz val="12"/>
            <color indexed="81"/>
            <rFont val="굴림"/>
            <family val="3"/>
            <charset val="129"/>
          </rPr>
          <t>증발량</t>
        </r>
        <r>
          <rPr>
            <sz val="12"/>
            <color indexed="81"/>
            <rFont val="Arial"/>
            <family val="2"/>
          </rPr>
          <t>/(CoC-1)</t>
        </r>
      </text>
    </comment>
    <comment ref="C8" authorId="1" shapeId="0" xr:uid="{00000000-0006-0000-0000-000007000000}">
      <text>
        <r>
          <rPr>
            <sz val="12"/>
            <color indexed="81"/>
            <rFont val="Arial"/>
            <family val="2"/>
          </rPr>
          <t xml:space="preserve">5 C: 100% </t>
        </r>
        <r>
          <rPr>
            <sz val="12"/>
            <color indexed="81"/>
            <rFont val="굴림"/>
            <family val="3"/>
            <charset val="129"/>
          </rPr>
          <t xml:space="preserve">효율
</t>
        </r>
        <r>
          <rPr>
            <sz val="12"/>
            <color indexed="81"/>
            <rFont val="Arial"/>
            <family val="2"/>
          </rPr>
          <t xml:space="preserve">2.5 C: 50% </t>
        </r>
        <r>
          <rPr>
            <sz val="12"/>
            <color indexed="81"/>
            <rFont val="굴림"/>
            <family val="3"/>
            <charset val="129"/>
          </rPr>
          <t xml:space="preserve">효율
</t>
        </r>
        <r>
          <rPr>
            <sz val="12"/>
            <color indexed="81"/>
            <rFont val="Arial"/>
            <family val="2"/>
          </rPr>
          <t>Big System: Design delta-T</t>
        </r>
        <r>
          <rPr>
            <sz val="12"/>
            <color indexed="81"/>
            <rFont val="굴림"/>
            <family val="3"/>
            <charset val="129"/>
          </rPr>
          <t>가</t>
        </r>
        <r>
          <rPr>
            <sz val="12"/>
            <color indexed="81"/>
            <rFont val="Arial"/>
            <family val="2"/>
          </rPr>
          <t xml:space="preserve"> 10 C</t>
        </r>
        <r>
          <rPr>
            <sz val="12"/>
            <color indexed="81"/>
            <rFont val="굴림"/>
            <family val="3"/>
            <charset val="129"/>
          </rPr>
          <t>인지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확인
또는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실제</t>
        </r>
        <r>
          <rPr>
            <sz val="12"/>
            <color indexed="81"/>
            <rFont val="Arial"/>
            <family val="2"/>
          </rPr>
          <t xml:space="preserve"> (Return - Supply) </t>
        </r>
        <r>
          <rPr>
            <sz val="12"/>
            <color indexed="81"/>
            <rFont val="굴림"/>
            <family val="3"/>
            <charset val="129"/>
          </rPr>
          <t>온도차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측정</t>
        </r>
      </text>
    </comment>
    <comment ref="C9" authorId="1" shapeId="0" xr:uid="{00000000-0006-0000-0000-000008000000}">
      <text>
        <r>
          <rPr>
            <sz val="10"/>
            <color indexed="81"/>
            <rFont val="돋움"/>
            <family val="3"/>
            <charset val="129"/>
          </rPr>
          <t>증발</t>
        </r>
        <r>
          <rPr>
            <sz val="10"/>
            <color indexed="81"/>
            <rFont val="Tahoma"/>
            <family val="2"/>
          </rPr>
          <t xml:space="preserve">: 1oF </t>
        </r>
        <r>
          <rPr>
            <sz val="10"/>
            <color indexed="81"/>
            <rFont val="돋움"/>
            <family val="3"/>
            <charset val="129"/>
          </rPr>
          <t>당</t>
        </r>
        <r>
          <rPr>
            <sz val="10"/>
            <color indexed="81"/>
            <rFont val="Tahoma"/>
            <family val="2"/>
          </rPr>
          <t xml:space="preserve"> 0.1% = 0.56oC </t>
        </r>
        <r>
          <rPr>
            <sz val="10"/>
            <color indexed="81"/>
            <rFont val="돋움"/>
            <family val="3"/>
            <charset val="129"/>
          </rPr>
          <t>당</t>
        </r>
        <r>
          <rPr>
            <sz val="10"/>
            <color indexed="81"/>
            <rFont val="Tahoma"/>
            <family val="2"/>
          </rPr>
          <t xml:space="preserve"> 0.1% = 1oC </t>
        </r>
        <r>
          <rPr>
            <sz val="10"/>
            <color indexed="81"/>
            <rFont val="돋움"/>
            <family val="3"/>
            <charset val="129"/>
          </rPr>
          <t>당</t>
        </r>
        <r>
          <rPr>
            <sz val="10"/>
            <color indexed="81"/>
            <rFont val="Tahoma"/>
            <family val="2"/>
          </rPr>
          <t xml:space="preserve"> 0.179% = 5oC </t>
        </r>
        <r>
          <rPr>
            <sz val="10"/>
            <color indexed="81"/>
            <rFont val="돋움"/>
            <family val="3"/>
            <charset val="129"/>
          </rPr>
          <t>당</t>
        </r>
        <r>
          <rPr>
            <sz val="10"/>
            <color indexed="81"/>
            <rFont val="Tahoma"/>
            <family val="2"/>
          </rPr>
          <t xml:space="preserve"> 0.893%
</t>
        </r>
        <r>
          <rPr>
            <sz val="10"/>
            <color indexed="81"/>
            <rFont val="돋움"/>
            <family val="3"/>
            <charset val="129"/>
          </rPr>
          <t>이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중</t>
        </r>
        <r>
          <rPr>
            <sz val="10"/>
            <color indexed="81"/>
            <rFont val="Tahoma"/>
            <family val="2"/>
          </rPr>
          <t xml:space="preserve"> 80%(0.71%)</t>
        </r>
        <r>
          <rPr>
            <sz val="10"/>
            <color indexed="81"/>
            <rFont val="돋움"/>
            <family val="3"/>
            <charset val="129"/>
          </rPr>
          <t>가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실제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증발이고</t>
        </r>
        <r>
          <rPr>
            <sz val="10"/>
            <color indexed="81"/>
            <rFont val="Tahoma"/>
            <family val="2"/>
          </rPr>
          <t xml:space="preserve"> 20%</t>
        </r>
        <r>
          <rPr>
            <sz val="10"/>
            <color indexed="81"/>
            <rFont val="돋움"/>
            <family val="3"/>
            <charset val="129"/>
          </rPr>
          <t>는</t>
        </r>
        <r>
          <rPr>
            <sz val="10"/>
            <color indexed="81"/>
            <rFont val="Tahoma"/>
            <family val="2"/>
          </rPr>
          <t xml:space="preserve"> Sensible Heat Loss
  On average, 80% of the cooling (=heat loss) comes from evaporation
  and 20% from sensible heat loss (No water loss)
  Colder weather reduces this factor (; the colder, the less E)
delta-T 5oC</t>
        </r>
        <r>
          <rPr>
            <sz val="10"/>
            <color indexed="81"/>
            <rFont val="돋움"/>
            <family val="3"/>
            <charset val="129"/>
          </rPr>
          <t>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때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순환수량의</t>
        </r>
        <r>
          <rPr>
            <sz val="10"/>
            <color indexed="81"/>
            <rFont val="Tahoma"/>
            <family val="2"/>
          </rPr>
          <t xml:space="preserve"> 0.72%
AWT: E = 0.001 x delta-F x R x 0.8 = 0.0018 x delta-C x R x 0.8 (0.8 = Factor for Sensible Heat Loss)
CA: E = 0.00085 x delta-F x RR (GPM) = 0.00153 x delta-C x RR (Ton/Hr)
Jim: Calgon used 0.7 in general. Jim recommends 0.7 (30% sensible heat loss in Korea)</t>
        </r>
      </text>
    </comment>
    <comment ref="E9" authorId="0" shapeId="0" xr:uid="{00000000-0006-0000-0000-000009000000}">
      <text>
        <r>
          <rPr>
            <sz val="12"/>
            <color indexed="81"/>
            <rFont val="Arial"/>
            <family val="2"/>
          </rPr>
          <t xml:space="preserve">Skin Temp = </t>
        </r>
        <r>
          <rPr>
            <sz val="12"/>
            <color indexed="81"/>
            <rFont val="굴림"/>
            <family val="3"/>
            <charset val="129"/>
          </rPr>
          <t>게이지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온도</t>
        </r>
        <r>
          <rPr>
            <sz val="12"/>
            <color indexed="81"/>
            <rFont val="Arial"/>
            <family val="2"/>
          </rPr>
          <t xml:space="preserve"> + 15</t>
        </r>
        <r>
          <rPr>
            <vertAlign val="superscript"/>
            <sz val="12"/>
            <color indexed="81"/>
            <rFont val="Arial"/>
            <family val="2"/>
          </rPr>
          <t>o</t>
        </r>
        <r>
          <rPr>
            <sz val="12"/>
            <color indexed="81"/>
            <rFont val="Arial"/>
            <family val="2"/>
          </rPr>
          <t xml:space="preserve">C
</t>
        </r>
        <r>
          <rPr>
            <sz val="12"/>
            <color indexed="81"/>
            <rFont val="굴림"/>
            <family val="3"/>
            <charset val="129"/>
          </rPr>
          <t>컴프레서</t>
        </r>
        <r>
          <rPr>
            <sz val="12"/>
            <color indexed="81"/>
            <rFont val="Arial"/>
            <family val="2"/>
          </rPr>
          <t>: 70</t>
        </r>
        <r>
          <rPr>
            <vertAlign val="superscript"/>
            <sz val="12"/>
            <color indexed="81"/>
            <rFont val="Arial"/>
            <family val="2"/>
          </rPr>
          <t>o</t>
        </r>
        <r>
          <rPr>
            <sz val="12"/>
            <color indexed="81"/>
            <rFont val="Arial"/>
            <family val="2"/>
          </rPr>
          <t>C</t>
        </r>
      </text>
    </comment>
    <comment ref="C10" authorId="1" shapeId="0" xr:uid="{00000000-0006-0000-0000-00000A000000}">
      <text>
        <r>
          <rPr>
            <sz val="12"/>
            <color indexed="81"/>
            <rFont val="Arial"/>
            <family val="2"/>
          </rPr>
          <t>delta-T</t>
        </r>
        <r>
          <rPr>
            <sz val="12"/>
            <color indexed="81"/>
            <rFont val="굴림"/>
            <family val="3"/>
            <charset val="129"/>
          </rPr>
          <t>와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상관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없이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순환수량의</t>
        </r>
        <r>
          <rPr>
            <sz val="12"/>
            <color indexed="81"/>
            <rFont val="Arial"/>
            <family val="2"/>
          </rPr>
          <t xml:space="preserve"> 0.02%
</t>
        </r>
        <r>
          <rPr>
            <sz val="10"/>
            <color indexed="23"/>
            <rFont val="Arial"/>
            <family val="2"/>
          </rPr>
          <t>Normally ZERO (Jim on 111006)
AWT: D = (0.01~0.03) x R
   Dependsing on the age and design of the cooling tower.
   Can be as low as 0.001~0.005% in new and well maintained cooling towers.</t>
        </r>
      </text>
    </comment>
    <comment ref="C11" authorId="1" shapeId="0" xr:uid="{00000000-0006-0000-0000-00000B000000}">
      <text>
        <r>
          <rPr>
            <sz val="12"/>
            <color indexed="81"/>
            <rFont val="Arial"/>
            <family val="2"/>
          </rPr>
          <t xml:space="preserve">= </t>
        </r>
        <r>
          <rPr>
            <sz val="12"/>
            <color indexed="81"/>
            <rFont val="굴림"/>
            <family val="3"/>
            <charset val="129"/>
          </rPr>
          <t>증발</t>
        </r>
        <r>
          <rPr>
            <sz val="12"/>
            <color indexed="81"/>
            <rFont val="Arial"/>
            <family val="2"/>
          </rPr>
          <t xml:space="preserve"> + 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 xml:space="preserve"> + </t>
        </r>
        <r>
          <rPr>
            <sz val="12"/>
            <color indexed="81"/>
            <rFont val="굴림"/>
            <family val="3"/>
            <charset val="129"/>
          </rPr>
          <t xml:space="preserve">블로우
</t>
        </r>
        <r>
          <rPr>
            <sz val="10"/>
            <color indexed="23"/>
            <rFont val="Arial"/>
            <family val="2"/>
          </rPr>
          <t>or E x CoC / (CoC-1) (Reference)</t>
        </r>
      </text>
    </comment>
    <comment ref="I11" authorId="0" shapeId="0" xr:uid="{00000000-0006-0000-0000-00000C000000}">
      <text>
        <r>
          <rPr>
            <sz val="12"/>
            <color indexed="81"/>
            <rFont val="Arial"/>
            <family val="2"/>
          </rPr>
          <t>Chloride is not Limiting Factor in Water-2000</t>
        </r>
      </text>
    </comment>
    <comment ref="C12" authorId="1" shapeId="0" xr:uid="{00000000-0006-0000-0000-00000D000000}">
      <text>
        <r>
          <rPr>
            <sz val="12"/>
            <color indexed="81"/>
            <rFont val="Arial"/>
            <family val="2"/>
          </rPr>
          <t xml:space="preserve">= 0.7 x </t>
        </r>
        <r>
          <rPr>
            <sz val="12"/>
            <color indexed="81"/>
            <rFont val="굴림"/>
            <family val="3"/>
            <charset val="129"/>
          </rPr>
          <t>보유수량</t>
        </r>
        <r>
          <rPr>
            <sz val="12"/>
            <color indexed="81"/>
            <rFont val="Arial"/>
            <family val="2"/>
          </rPr>
          <t xml:space="preserve"> / </t>
        </r>
        <r>
          <rPr>
            <sz val="12"/>
            <color indexed="81"/>
            <rFont val="굴림"/>
            <family val="3"/>
            <charset val="129"/>
          </rPr>
          <t>블로우량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0"/>
            <color indexed="23"/>
            <rFont val="Arial"/>
            <family val="2"/>
          </rPr>
          <t>Time required to dilute chemical
to 50% of its original concentration</t>
        </r>
      </text>
    </comment>
    <comment ref="C15" authorId="1" shapeId="0" xr:uid="{00000000-0006-0000-0000-00000E000000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100 ppm
PTSA; 100 ppb</t>
        </r>
      </text>
    </comment>
    <comment ref="D15" authorId="0" shapeId="0" xr:uid="{00000000-0006-0000-0000-00000F000000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100 ppm</t>
        </r>
      </text>
    </comment>
    <comment ref="C16" authorId="1" shapeId="0" xr:uid="{00000000-0006-0000-0000-000010000000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100 ppm
Moly: 0.25 ppm</t>
        </r>
      </text>
    </comment>
    <comment ref="D16" authorId="0" shapeId="0" xr:uid="{00000000-0006-0000-0000-000011000000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100 ppm</t>
        </r>
      </text>
    </comment>
    <comment ref="C17" authorId="1" shapeId="0" xr:uid="{4A1BCC96-48E0-4D3D-B2CD-162CACBBE449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50 ppm
PTSA: 50 ppb</t>
        </r>
      </text>
    </comment>
    <comment ref="D17" authorId="0" shapeId="0" xr:uid="{451F1043-9EFA-4ADD-9E04-003249A259D0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50 ppm</t>
        </r>
      </text>
    </comment>
    <comment ref="C18" authorId="1" shapeId="0" xr:uid="{48910336-24BF-4C0E-BCEE-9CD70ABAAB1B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25 ppm</t>
        </r>
      </text>
    </comment>
    <comment ref="D18" authorId="0" shapeId="0" xr:uid="{F9A96D2A-9F42-4835-8C4F-88FC00A1A3AB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25 ppm</t>
        </r>
      </text>
    </comment>
    <comment ref="C19" authorId="1" shapeId="0" xr:uid="{2712AF2B-21F7-4928-87BB-B8D0E3E317E0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40 ppm</t>
        </r>
      </text>
    </comment>
    <comment ref="D19" authorId="0" shapeId="0" xr:uid="{6918B798-B8CB-4A63-A2C9-8FC73778691B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40 ppm</t>
        </r>
      </text>
    </comment>
    <comment ref="C20" authorId="1" shapeId="0" xr:uid="{00000000-0006-0000-0000-000013000000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10 ppm
PTSA: 40 ppb</t>
        </r>
      </text>
    </comment>
    <comment ref="D20" authorId="0" shapeId="0" xr:uid="{00000000-0006-0000-0000-000014000000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10 ppm</t>
        </r>
      </text>
    </comment>
    <comment ref="C21" authorId="1" shapeId="0" xr:uid="{00000000-0006-0000-0000-000016000000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5 ppm
Azole: 2~4 ppm</t>
        </r>
      </text>
    </comment>
    <comment ref="D21" authorId="0" shapeId="0" xr:uid="{00000000-0006-0000-0000-000017000000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5 ppm
Azole: 2~4 ppm</t>
        </r>
      </text>
    </comment>
    <comment ref="C22" authorId="1" shapeId="0" xr:uid="{00000000-0006-0000-0000-000019000000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8 ppm</t>
        </r>
      </text>
    </comment>
    <comment ref="D22" authorId="0" shapeId="0" xr:uid="{00000000-0006-0000-0000-00001A000000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8 ppm</t>
        </r>
      </text>
    </comment>
    <comment ref="C23" authorId="1" shapeId="0" xr:uid="{00000000-0006-0000-0000-00001C000000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400 ppm
Moly: 0.25 ppm</t>
        </r>
      </text>
    </comment>
    <comment ref="D23" authorId="0" shapeId="0" xr:uid="{00000000-0006-0000-0000-00001D000000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400 ppm</t>
        </r>
      </text>
    </comment>
    <comment ref="C24" authorId="1" shapeId="0" xr:uid="{00000000-0006-0000-0000-00001F000000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28 ppm
28 x 71% converts to PO4 (20 ppm)</t>
        </r>
      </text>
    </comment>
    <comment ref="D24" authorId="0" shapeId="0" xr:uid="{00000000-0006-0000-0000-000020000000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28 ppm</t>
        </r>
      </text>
    </comment>
    <comment ref="C25" authorId="1" shapeId="0" xr:uid="{00000000-0006-0000-0000-000023000000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100~200 ppm</t>
        </r>
      </text>
    </comment>
    <comment ref="D25" authorId="0" shapeId="0" xr:uid="{00000000-0006-0000-0000-000024000000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100~200 ppm</t>
        </r>
      </text>
    </comment>
    <comment ref="C26" authorId="1" shapeId="0" xr:uid="{00000000-0006-0000-0000-000026000000}">
      <text>
        <r>
          <rPr>
            <sz val="10"/>
            <color indexed="81"/>
            <rFont val="Arial"/>
            <family val="2"/>
          </rPr>
          <t xml:space="preserve">Target Ca: 10 ppm
CaCl2(M.W.=111): 10 x 111/40 = 28 ppm
CA-C30: 28/0.3 = 93 ppm
Cl2: 93 x 0.3 x (111-40)/111 = 18 ppm </t>
        </r>
        <r>
          <rPr>
            <sz val="10"/>
            <color indexed="81"/>
            <rFont val="굴림"/>
            <family val="3"/>
            <charset val="129"/>
          </rPr>
          <t xml:space="preserve">증가
</t>
        </r>
        <r>
          <rPr>
            <sz val="10"/>
            <color indexed="81"/>
            <rFont val="Arial"/>
            <family val="2"/>
          </rPr>
          <t xml:space="preserve">Target Ca: 2 ppm
CaCl2(M.W.=111): 2 x 111/40 = 5.55 ppm
CA-C30: 5.55/0.3 = 18.5 ppm
Cl2: 18.5 x 0.3 x (111-40)/111 = 3.55 ppm </t>
        </r>
        <r>
          <rPr>
            <sz val="10"/>
            <color indexed="81"/>
            <rFont val="굴림"/>
            <family val="3"/>
            <charset val="129"/>
          </rPr>
          <t>증가</t>
        </r>
        <r>
          <rPr>
            <sz val="10"/>
            <color indexed="81"/>
            <rFont val="Arial"/>
            <family val="2"/>
          </rPr>
          <t xml:space="preserve">
Target Ca: 5 ppm
CaCl2(M.W.=111): 5 x 111/40 = 13.88 ppm
CA-C30: 13.88/0.3 = 46.3 ppm
Cl2: 46.3 x 0.3 x (111-40)/111 = 8.9 ppm </t>
        </r>
        <r>
          <rPr>
            <sz val="10"/>
            <color indexed="81"/>
            <rFont val="굴림"/>
            <family val="3"/>
            <charset val="129"/>
          </rPr>
          <t>증가</t>
        </r>
        <r>
          <rPr>
            <sz val="10"/>
            <color indexed="81"/>
            <rFont val="Arial"/>
            <family val="2"/>
          </rPr>
          <t xml:space="preserve">
</t>
        </r>
        <r>
          <rPr>
            <sz val="10"/>
            <color indexed="81"/>
            <rFont val="굴림"/>
            <family val="3"/>
            <charset val="129"/>
          </rPr>
          <t>용해도</t>
        </r>
        <r>
          <rPr>
            <sz val="10"/>
            <color indexed="81"/>
            <rFont val="Arial"/>
            <family val="2"/>
          </rPr>
          <t>: 34g/100mL(25%) @-20</t>
        </r>
        <r>
          <rPr>
            <sz val="10"/>
            <color indexed="81"/>
            <rFont val="Arial Unicode MS"/>
            <family val="3"/>
            <charset val="129"/>
          </rPr>
          <t>℃</t>
        </r>
        <r>
          <rPr>
            <sz val="10"/>
            <color indexed="81"/>
            <rFont val="Arial"/>
            <family val="2"/>
          </rPr>
          <t>, 37.3g/100mL(27%)@0</t>
        </r>
        <r>
          <rPr>
            <sz val="10"/>
            <color indexed="81"/>
            <rFont val="Arial Unicode MS"/>
            <family val="3"/>
            <charset val="129"/>
          </rPr>
          <t>℃</t>
        </r>
        <r>
          <rPr>
            <sz val="10"/>
            <color indexed="81"/>
            <rFont val="Arial"/>
            <family val="2"/>
          </rPr>
          <t xml:space="preserve">
[</t>
        </r>
        <r>
          <rPr>
            <sz val="10"/>
            <color indexed="81"/>
            <rFont val="굴림"/>
            <family val="3"/>
            <charset val="129"/>
          </rPr>
          <t>출처</t>
        </r>
        <r>
          <rPr>
            <sz val="10"/>
            <color indexed="81"/>
            <rFont val="Arial"/>
            <family val="2"/>
          </rPr>
          <t xml:space="preserve">] </t>
        </r>
        <r>
          <rPr>
            <sz val="10"/>
            <color indexed="81"/>
            <rFont val="굴림"/>
            <family val="3"/>
            <charset val="129"/>
          </rPr>
          <t>염화칼슘</t>
        </r>
        <r>
          <rPr>
            <sz val="10"/>
            <color indexed="81"/>
            <rFont val="Arial"/>
            <family val="2"/>
          </rPr>
          <t>(Calcium Chloride)|</t>
        </r>
        <r>
          <rPr>
            <sz val="10"/>
            <color indexed="81"/>
            <rFont val="굴림"/>
            <family val="3"/>
            <charset val="129"/>
          </rPr>
          <t>작성자</t>
        </r>
        <r>
          <rPr>
            <sz val="10"/>
            <color indexed="81"/>
            <rFont val="Arial"/>
            <family val="2"/>
          </rPr>
          <t xml:space="preserve"> </t>
        </r>
        <r>
          <rPr>
            <sz val="10"/>
            <color indexed="81"/>
            <rFont val="굴림"/>
            <family val="3"/>
            <charset val="129"/>
          </rPr>
          <t>주식회사</t>
        </r>
        <r>
          <rPr>
            <sz val="10"/>
            <color indexed="81"/>
            <rFont val="Arial"/>
            <family val="2"/>
          </rPr>
          <t xml:space="preserve"> </t>
        </r>
        <r>
          <rPr>
            <sz val="10"/>
            <color indexed="81"/>
            <rFont val="굴림"/>
            <family val="3"/>
            <charset val="129"/>
          </rPr>
          <t xml:space="preserve">베크
</t>
        </r>
        <r>
          <rPr>
            <sz val="12"/>
            <color indexed="81"/>
            <rFont val="Arial"/>
            <family val="2"/>
          </rPr>
          <t xml:space="preserve">Ca(HCO3)2: </t>
        </r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1,443 ppm</t>
        </r>
        <r>
          <rPr>
            <sz val="10"/>
            <color indexed="81"/>
            <rFont val="굴림"/>
            <family val="3"/>
            <charset val="129"/>
          </rPr>
          <t xml:space="preserve">
</t>
        </r>
        <r>
          <rPr>
            <sz val="10"/>
            <color indexed="81"/>
            <rFont val="Arial"/>
            <family val="2"/>
          </rPr>
          <t>Ca: 50 ppm
Ca(HCO3)2: 50 x 162/40 = 202 ppm
Ca(HCO3)2(14%): 202/0.14 = 1,443 ppm</t>
        </r>
      </text>
    </comment>
    <comment ref="D26" authorId="0" shapeId="0" xr:uid="{00000000-0006-0000-0000-000027000000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112 ppm</t>
        </r>
      </text>
    </comment>
    <comment ref="C28" authorId="0" shapeId="0" xr:uid="{00000000-0006-0000-0000-000029000000}">
      <text>
        <r>
          <rPr>
            <sz val="12"/>
            <color indexed="81"/>
            <rFont val="Arial"/>
            <family val="2"/>
          </rPr>
          <t>57 ppm
 7% vs. 20%(MB-220)</t>
        </r>
      </text>
    </comment>
    <comment ref="C29" authorId="0" shapeId="0" xr:uid="{00000000-0006-0000-0000-00002B000000}">
      <text>
        <r>
          <rPr>
            <sz val="12"/>
            <color indexed="81"/>
            <rFont val="Arial"/>
            <family val="2"/>
          </rPr>
          <t>100 ppm</t>
        </r>
      </text>
    </comment>
    <comment ref="C30" authorId="0" shapeId="0" xr:uid="{00000000-0006-0000-0000-00002D000000}">
      <text>
        <r>
          <rPr>
            <sz val="12"/>
            <color indexed="81"/>
            <rFont val="Arial"/>
            <family val="2"/>
          </rPr>
          <t xml:space="preserve">300 ppm
</t>
        </r>
        <r>
          <rPr>
            <sz val="10"/>
            <color indexed="23"/>
            <rFont val="Arial"/>
            <family val="2"/>
          </rPr>
          <t xml:space="preserve">PAG: Typical Dosage 300 ppm
  Maint. Dosage: </t>
        </r>
        <r>
          <rPr>
            <b/>
            <sz val="10"/>
            <color indexed="23"/>
            <rFont val="Arial"/>
            <family val="2"/>
          </rPr>
          <t>138</t>
        </r>
        <r>
          <rPr>
            <sz val="10"/>
            <color indexed="23"/>
            <rFont val="Arial"/>
            <family val="2"/>
          </rPr>
          <t>~342 ppm
  Initial Dosage: 342~693 ppm
Bacticide 45: 100 ppm
PAG: Typical Dosage 100 ppm (90 ppm as 50%)
  Maint. Dosage: 53~124 ppm
  Initial Dosage: 124~246 ppm</t>
        </r>
      </text>
    </comment>
    <comment ref="C31" authorId="0" shapeId="0" xr:uid="{00000000-0006-0000-0000-000030000000}">
      <text>
        <r>
          <rPr>
            <sz val="12"/>
            <color indexed="81"/>
            <rFont val="Arial"/>
            <family val="2"/>
          </rPr>
          <t xml:space="preserve">20 ppm
</t>
        </r>
        <r>
          <rPr>
            <sz val="10"/>
            <color indexed="23"/>
            <rFont val="Arial"/>
            <family val="2"/>
          </rPr>
          <t>PAG CheckMark 40224
  Typical Dosage 10 ppm
  Maint. Dosage: 2.5~118 ppm
  Initial Dosage: 6~118 ppm
CheckMark 40224 Label
  25~120 ppm every 4 days or as needed</t>
        </r>
      </text>
    </comment>
    <comment ref="C32" authorId="0" shapeId="0" xr:uid="{00000000-0006-0000-0000-000032000000}">
      <text>
        <r>
          <rPr>
            <sz val="12"/>
            <color indexed="81"/>
            <rFont val="Arial"/>
            <family val="2"/>
          </rPr>
          <t xml:space="preserve">50~75 ppm
</t>
        </r>
        <r>
          <rPr>
            <sz val="10"/>
            <color indexed="23"/>
            <rFont val="굴림"/>
            <family val="3"/>
            <charset val="129"/>
          </rPr>
          <t>산화성을</t>
        </r>
        <r>
          <rPr>
            <sz val="10"/>
            <color indexed="23"/>
            <rFont val="Arial"/>
            <family val="2"/>
          </rPr>
          <t xml:space="preserve"> </t>
        </r>
        <r>
          <rPr>
            <sz val="10"/>
            <color indexed="23"/>
            <rFont val="굴림"/>
            <family val="3"/>
            <charset val="129"/>
          </rPr>
          <t>사용하고</t>
        </r>
        <r>
          <rPr>
            <sz val="10"/>
            <color indexed="23"/>
            <rFont val="Arial"/>
            <family val="2"/>
          </rPr>
          <t xml:space="preserve"> </t>
        </r>
        <r>
          <rPr>
            <sz val="10"/>
            <color indexed="23"/>
            <rFont val="굴림"/>
            <family val="3"/>
            <charset val="129"/>
          </rPr>
          <t>있는</t>
        </r>
        <r>
          <rPr>
            <sz val="10"/>
            <color indexed="23"/>
            <rFont val="Arial"/>
            <family val="2"/>
          </rPr>
          <t xml:space="preserve"> </t>
        </r>
        <r>
          <rPr>
            <sz val="10"/>
            <color indexed="23"/>
            <rFont val="굴림"/>
            <family val="3"/>
            <charset val="129"/>
          </rPr>
          <t>경우</t>
        </r>
        <r>
          <rPr>
            <sz val="10"/>
            <color indexed="23"/>
            <rFont val="Arial"/>
            <family val="2"/>
          </rPr>
          <t xml:space="preserve"> 15~25 ppm</t>
        </r>
      </text>
    </comment>
    <comment ref="C33" authorId="0" shapeId="0" xr:uid="{00000000-0006-0000-0000-000034000000}">
      <text>
        <r>
          <rPr>
            <sz val="12"/>
            <color indexed="81"/>
            <rFont val="Arial"/>
            <family val="2"/>
          </rPr>
          <t xml:space="preserve">63 ppm
</t>
        </r>
        <r>
          <rPr>
            <sz val="10"/>
            <color indexed="23"/>
            <rFont val="Arial"/>
            <family val="2"/>
          </rPr>
          <t>1/2 of ActiChlor alone</t>
        </r>
      </text>
    </comment>
    <comment ref="C34" authorId="0" shapeId="0" xr:uid="{00000000-0006-0000-0000-000036000000}">
      <text>
        <r>
          <rPr>
            <sz val="12"/>
            <color indexed="81"/>
            <rFont val="Arial"/>
            <family val="2"/>
          </rPr>
          <t xml:space="preserve">13 ppm
</t>
        </r>
        <r>
          <rPr>
            <sz val="10"/>
            <color indexed="23"/>
            <rFont val="Arial"/>
            <family val="2"/>
          </rPr>
          <t>1/5 amount of ActiChlor</t>
        </r>
      </text>
    </comment>
    <comment ref="C35" authorId="0" shapeId="0" xr:uid="{00000000-0006-0000-0000-000038000000}">
      <text>
        <r>
          <rPr>
            <sz val="12"/>
            <color indexed="81"/>
            <rFont val="Arial"/>
            <family val="2"/>
          </rPr>
          <t xml:space="preserve">Typical: 100 ppm - </t>
        </r>
        <r>
          <rPr>
            <sz val="10"/>
            <color indexed="23"/>
            <rFont val="Arial"/>
            <family val="2"/>
          </rPr>
          <t>Min. 64 ppm
[Jim-120823: Dosages can be 100 ppm two times a week, or 65 ppm 3 times a week, or 30 ppm 5 times a week.]</t>
        </r>
      </text>
    </comment>
    <comment ref="C36" authorId="0" shapeId="0" xr:uid="{00000000-0006-0000-0000-00003A000000}">
      <text>
        <r>
          <rPr>
            <b/>
            <sz val="10"/>
            <color indexed="81"/>
            <rFont val="Arial"/>
            <family val="2"/>
          </rPr>
          <t>CA-Tech Bulletin
  HTI &lt; 4 Hrs = 30 ppm x 7 days/week 
  HTI 4~24 Hrs = 60 ppm x 3 days/week 
  HTI 24~48 Hrs = 90 ppm x 2 days/week 
  HTI &gt; 48 Hrs = 120 ppm x 2 days/week40 ppm</t>
        </r>
        <r>
          <rPr>
            <sz val="12"/>
            <color indexed="81"/>
            <rFont val="Arial"/>
            <family val="2"/>
          </rPr>
          <t xml:space="preserve">
</t>
        </r>
        <r>
          <rPr>
            <sz val="10"/>
            <color indexed="23"/>
            <rFont val="Arial"/>
            <family val="2"/>
          </rPr>
          <t>For Algae: 40 ppm as product (3 ppm Total Chlorine)
Minimum 13.4 ppm
PAG
  30~90 ppm 3 to 7 times/week
  1.0~1.5 ppm FRH Min. 1 hour
Label
  Total Bromine: 1.0~9.0 ppm
  2 oz/1,000 gal (15 ppm as product) = 3.4 ppm T-Br (1.47 ppm as T-Cl2)
  40 ppm as product = 9.0 ppm as T-Br (</t>
        </r>
        <r>
          <rPr>
            <sz val="10"/>
            <color indexed="23"/>
            <rFont val="돋움"/>
            <family val="3"/>
            <charset val="129"/>
          </rPr>
          <t>÷</t>
        </r>
        <r>
          <rPr>
            <sz val="10"/>
            <color indexed="23"/>
            <rFont val="Arial"/>
            <family val="2"/>
          </rPr>
          <t xml:space="preserve"> 2.3 = 4 ppm as T-Cl2)
</t>
        </r>
      </text>
    </comment>
    <comment ref="D38" authorId="2" shapeId="0" xr:uid="{00000000-0006-0000-0000-00003C000000}">
      <text>
        <r>
          <rPr>
            <sz val="9"/>
            <color indexed="81"/>
            <rFont val="Tahoma"/>
            <family val="2"/>
          </rPr>
          <t>(Target Residual Chlorine) x (Recirc.Rate; Ton/hr) x (A/100) x (100/B) = Hourly consumption (kg/hr)
A: Demand or consumption ratio / 30(Winter) - 70(Summer), normally 50 with chlorine
   20(Winter) - 60(Summer), normally 40 with bromine
B: Chlorine content (normally 12%)</t>
        </r>
      </text>
    </comment>
    <comment ref="D39" authorId="2" shapeId="0" xr:uid="{00000000-0006-0000-0000-00003E000000}">
      <text>
        <r>
          <rPr>
            <sz val="9"/>
            <color indexed="81"/>
            <rFont val="Tahoma"/>
            <family val="2"/>
          </rPr>
          <t>CONTINUOUS FEED: Apply an initial dose of 4 lb. per 10,000 gallons (48 ppm) based on system volume. Then feed at 2 lb per 10,000 gallons (24 ppm) based on system bleed and adjust feed rate to maintain 0.2 to 1.5 ppm FRH.</t>
        </r>
      </text>
    </comment>
    <comment ref="C41" authorId="0" shapeId="0" xr:uid="{00000000-0006-0000-0000-000040000000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25~50 ppm in PAG</t>
        </r>
      </text>
    </comment>
    <comment ref="C42" authorId="0" shapeId="0" xr:uid="{00000000-0006-0000-0000-000043000000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500x3.3=1,650 ppm</t>
        </r>
      </text>
    </comment>
    <comment ref="C43" authorId="0" shapeId="0" xr:uid="{00000000-0006-0000-0000-000044000000}">
      <text>
        <r>
          <rPr>
            <sz val="12"/>
            <color indexed="81"/>
            <rFont val="Arial"/>
            <family val="2"/>
          </rPr>
          <t xml:space="preserve">Maintenance &amp; Prevention: </t>
        </r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500 ppm
Cleaning: </t>
        </r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1,000 ppm</t>
        </r>
      </text>
    </comment>
    <comment ref="C44" authorId="0" shapeId="0" xr:uid="{00000000-0006-0000-0000-000046000000}">
      <text>
        <r>
          <rPr>
            <sz val="12"/>
            <color indexed="81"/>
            <rFont val="Arial"/>
            <family val="2"/>
          </rPr>
          <t xml:space="preserve">Maintenance &amp; Prevention: </t>
        </r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500 ppm
Cleaning: </t>
        </r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1,000 ppm</t>
        </r>
      </text>
    </comment>
    <comment ref="C46" authorId="1" shapeId="0" xr:uid="{00000000-0006-0000-0000-000048000000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100 ppm</t>
        </r>
      </text>
    </comment>
    <comment ref="D46" authorId="0" shapeId="0" xr:uid="{00000000-0006-0000-0000-000049000000}">
      <text>
        <r>
          <rPr>
            <sz val="12"/>
            <color indexed="81"/>
            <rFont val="Arial"/>
            <family val="2"/>
          </rPr>
          <t xml:space="preserve">Liter/day </t>
        </r>
        <r>
          <rPr>
            <sz val="12"/>
            <color indexed="81"/>
            <rFont val="돋움"/>
            <family val="3"/>
            <charset val="129"/>
          </rPr>
          <t>÷</t>
        </r>
        <r>
          <rPr>
            <sz val="12"/>
            <color indexed="81"/>
            <rFont val="Arial"/>
            <family val="2"/>
          </rPr>
          <t xml:space="preserve"> hours/day</t>
        </r>
      </text>
    </comment>
    <comment ref="E46" authorId="3" shapeId="0" xr:uid="{00000000-0006-0000-0000-00004A000000}">
      <text>
        <r>
          <rPr>
            <sz val="12"/>
            <color indexed="81"/>
            <rFont val="Arial"/>
            <family val="2"/>
          </rPr>
          <t xml:space="preserve">kg/month ÷ 0.005(0.5% solution) </t>
        </r>
        <r>
          <rPr>
            <sz val="12"/>
            <color indexed="81"/>
            <rFont val="돋움"/>
            <family val="3"/>
            <charset val="129"/>
          </rPr>
          <t>÷</t>
        </r>
        <r>
          <rPr>
            <sz val="12"/>
            <color indexed="81"/>
            <rFont val="Arial"/>
            <family val="2"/>
          </rPr>
          <t xml:space="preserve"> days/month</t>
        </r>
      </text>
    </comment>
    <comment ref="F46" authorId="3" shapeId="0" xr:uid="{00000000-0006-0000-0000-00004B000000}">
      <text>
        <r>
          <rPr>
            <sz val="12"/>
            <color indexed="81"/>
            <rFont val="Arial"/>
            <family val="2"/>
          </rPr>
          <t>kg/year ÷ months</t>
        </r>
      </text>
    </comment>
    <comment ref="G46" authorId="0" shapeId="0" xr:uid="{00000000-0006-0000-0000-00004C000000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25 ppm</t>
        </r>
      </text>
    </comment>
    <comment ref="C47" authorId="1" shapeId="0" xr:uid="{00000000-0006-0000-0000-00004D000000}">
      <text>
        <r>
          <rPr>
            <sz val="12"/>
            <color indexed="81"/>
            <rFont val="굴림"/>
            <family val="3"/>
            <charset val="129"/>
          </rPr>
          <t>부하율</t>
        </r>
        <r>
          <rPr>
            <sz val="12"/>
            <color indexed="81"/>
            <rFont val="Arial"/>
            <family val="2"/>
          </rPr>
          <t xml:space="preserve"> 50% x 24</t>
        </r>
        <r>
          <rPr>
            <sz val="12"/>
            <color indexed="81"/>
            <rFont val="굴림"/>
            <family val="3"/>
            <charset val="129"/>
          </rPr>
          <t>시간</t>
        </r>
        <r>
          <rPr>
            <sz val="12"/>
            <color indexed="81"/>
            <rFont val="Arial"/>
            <family val="2"/>
          </rPr>
          <t>/</t>
        </r>
        <r>
          <rPr>
            <sz val="12"/>
            <color indexed="81"/>
            <rFont val="굴림"/>
            <family val="3"/>
            <charset val="129"/>
          </rPr>
          <t>일</t>
        </r>
        <r>
          <rPr>
            <sz val="12"/>
            <color indexed="81"/>
            <rFont val="Arial"/>
            <family val="2"/>
          </rPr>
          <t xml:space="preserve"> x 7</t>
        </r>
        <r>
          <rPr>
            <sz val="12"/>
            <color indexed="81"/>
            <rFont val="굴림"/>
            <family val="3"/>
            <charset val="129"/>
          </rPr>
          <t>일</t>
        </r>
        <r>
          <rPr>
            <sz val="12"/>
            <color indexed="81"/>
            <rFont val="Arial"/>
            <family val="2"/>
          </rPr>
          <t>/</t>
        </r>
        <r>
          <rPr>
            <sz val="12"/>
            <color indexed="81"/>
            <rFont val="굴림"/>
            <family val="3"/>
            <charset val="129"/>
          </rPr>
          <t>주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가동하는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냉각수계에</t>
        </r>
        <r>
          <rPr>
            <sz val="12"/>
            <color indexed="81"/>
            <rFont val="Arial"/>
            <family val="2"/>
          </rPr>
          <t xml:space="preserve"> CoC 3.0 </t>
        </r>
        <r>
          <rPr>
            <sz val="12"/>
            <color indexed="81"/>
            <rFont val="굴림"/>
            <family val="3"/>
            <charset val="129"/>
          </rPr>
          <t>기준</t>
        </r>
        <r>
          <rPr>
            <sz val="12"/>
            <color indexed="81"/>
            <rFont val="Arial"/>
            <family val="2"/>
          </rPr>
          <t xml:space="preserve"> 100 RT</t>
        </r>
        <r>
          <rPr>
            <sz val="12"/>
            <color indexed="81"/>
            <rFont val="굴림"/>
            <family val="3"/>
            <charset val="129"/>
          </rPr>
          <t>당</t>
        </r>
        <r>
          <rPr>
            <sz val="12"/>
            <color indexed="81"/>
            <rFont val="Arial"/>
            <family val="2"/>
          </rPr>
          <t xml:space="preserve"> 4</t>
        </r>
        <r>
          <rPr>
            <sz val="12"/>
            <color indexed="81"/>
            <rFont val="굴림"/>
            <family val="3"/>
            <charset val="129"/>
          </rPr>
          <t>개</t>
        </r>
        <r>
          <rPr>
            <sz val="12"/>
            <color indexed="81"/>
            <rFont val="Arial"/>
            <family val="2"/>
          </rPr>
          <t>/</t>
        </r>
        <r>
          <rPr>
            <sz val="12"/>
            <color indexed="81"/>
            <rFont val="굴림"/>
            <family val="3"/>
            <charset val="129"/>
          </rPr>
          <t>월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투입</t>
        </r>
      </text>
    </comment>
    <comment ref="C49" authorId="0" shapeId="0" xr:uid="{00000000-0006-0000-0000-00004F000000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4 ppm (3.6~18 ppm)
Matt: 2% Solution
Jim's CoolCalc = 2.4 ppm
APTech's PB = 2.4 ppm
  0.02 lb product/1,000 gal will give 2 ppm Free Chlorine</t>
        </r>
      </text>
    </comment>
    <comment ref="C50" authorId="0" shapeId="0" xr:uid="{00000000-0006-0000-0000-000050000000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1.2 ppm</t>
        </r>
      </text>
    </comment>
    <comment ref="C51" authorId="0" shapeId="0" xr:uid="{3DF5211A-4804-48C9-86A5-2FC2D12D262E}">
      <text>
        <r>
          <rPr>
            <sz val="12"/>
            <color indexed="81"/>
            <rFont val="Arial"/>
            <family val="2"/>
          </rPr>
          <t>APTech PB: 1.2 ppm (0.01 lb product/1,000 gal)
APTech PB: 1.7% Solution
   0.01 lb (product) /1,000 gal = 0.588 lb (solution)/1,000 gal
Matt (211005): 0.3~0.5% Solution (0.5% in Calc-Cooling)</t>
        </r>
      </text>
    </comment>
    <comment ref="C52" authorId="0" shapeId="0" xr:uid="{00000000-0006-0000-0000-000051000000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40 ppm
</t>
        </r>
        <r>
          <rPr>
            <sz val="10"/>
            <color indexed="81"/>
            <rFont val="Arial"/>
            <family val="2"/>
          </rPr>
          <t>US-CA Label (047C)
Initial: 8 oz/10,000 gal = 6.4 ppm
Maint: 0.8~1.6 oz/10,000 gal</t>
        </r>
      </text>
    </comment>
    <comment ref="C53" authorId="0" shapeId="0" xr:uid="{00000000-0006-0000-0000-000055000000}">
      <text>
        <r>
          <rPr>
            <sz val="12"/>
            <color indexed="81"/>
            <rFont val="Arial"/>
            <family val="2"/>
          </rPr>
          <t xml:space="preserve">EnviroTech: 1 Tablet (100g) treats 500~1,000 gallon
  for up to 3 weeks = 25~50 ppm
</t>
        </r>
        <r>
          <rPr>
            <sz val="10"/>
            <color indexed="81"/>
            <rFont val="Arial"/>
            <family val="2"/>
          </rPr>
          <t>PAG (EnviroBeom Tabs)
  Typical Dosage: 1 Tablet/1,000 gal
  Maint. &amp; Initial Dosage: 1~2 tablets/1,000 gal
PAG (SumpBuddy)
  Typical Dosage: 200 g/1.000 gal: 50 ppm
  Label Dosage: 200~400 g/1,000 gal: 50~100 ppm</t>
        </r>
      </text>
    </comment>
    <comment ref="F62" authorId="2" shapeId="0" xr:uid="{00000000-0006-0000-0000-000057000000}">
      <text>
        <r>
          <rPr>
            <sz val="9"/>
            <color indexed="81"/>
            <rFont val="Tahoma"/>
            <family val="2"/>
          </rPr>
          <t>APTech Product Bulletin
Application/Feedrate:  One L1-C Tablet per 1000 gallon doses 34.4 ppm as nitrite (as NO2).
0.5 lb/1,000 gal = 0.227 kg/3,785 L = 60 ppm increases 34.4 ppm as NO2 = 52 ppm as NaNO2
So, 600 ppm as NaNO2 = 692 ppm as Product</t>
        </r>
      </text>
    </comment>
    <comment ref="F63" authorId="2" shapeId="0" xr:uid="{DAC2B6C2-93C5-4BF2-BCDE-5683ABE912DE}">
      <text>
        <r>
          <rPr>
            <sz val="12"/>
            <color indexed="81"/>
            <rFont val="Tahoma"/>
            <family val="2"/>
          </rPr>
          <t>300 ppm as product = 30 ppm as SiO2 =100 ppb as PTSA</t>
        </r>
      </text>
    </comment>
    <comment ref="F64" authorId="2" shapeId="0" xr:uid="{00000000-0006-0000-0000-000059000000}">
      <text>
        <r>
          <rPr>
            <sz val="12"/>
            <color indexed="81"/>
            <rFont val="Tahoma"/>
            <family val="2"/>
          </rPr>
          <t>1,050 ppm as product = 50 ppm as Mo = 50 ppb as PTSA</t>
        </r>
      </text>
    </comment>
    <comment ref="F65" authorId="2" shapeId="0" xr:uid="{D33526BE-3DAB-4174-B6E3-72E8D0480FF2}">
      <text>
        <r>
          <rPr>
            <sz val="12"/>
            <color indexed="81"/>
            <rFont val="Tahoma"/>
            <family val="2"/>
          </rPr>
          <t>1,500 ppm as product = 100 ppm as Mo = 100 ppb as PTSA</t>
        </r>
      </text>
    </comment>
    <comment ref="F66" authorId="2" shapeId="0" xr:uid="{00000000-0006-0000-0000-00005B000000}">
      <text>
        <r>
          <rPr>
            <sz val="12"/>
            <color indexed="81"/>
            <rFont val="Tahoma"/>
            <family val="2"/>
          </rPr>
          <t>Tablet (New)
  48 ppm as product = 10.5 ppm Mo
  230 ppm as product = 50 ppm Mo
  $220/9.1 kg = $24/kg x 1,200 x 1.15 x 1.15 = 38,000 Won/kg
HP888STX(Cmo-C STX)
  200 ppm as product = 50 ppm as Mo
  0.8 lb x 30 = 24 lb(10.9 kg)/case
  $276/10.9 kg = $25/kg x 1,200 x 1.15 x 1.15 = 40,000 Won/kg</t>
        </r>
      </text>
    </comment>
    <comment ref="F71" authorId="0" shapeId="0" xr:uid="{00000000-0006-0000-0000-00005D000000}">
      <text>
        <r>
          <rPr>
            <sz val="12"/>
            <color indexed="81"/>
            <rFont val="Arial"/>
            <family val="2"/>
          </rPr>
          <t>120 ppm x 4 times a year</t>
        </r>
      </text>
    </comment>
    <comment ref="C75" authorId="1" shapeId="0" xr:uid="{00000000-0006-0000-0000-00005F000000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100 ppm</t>
        </r>
      </text>
    </comment>
    <comment ref="D75" authorId="0" shapeId="0" xr:uid="{00000000-0006-0000-0000-000060000000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100 ppm</t>
        </r>
      </text>
    </comment>
    <comment ref="C76" authorId="1" shapeId="0" xr:uid="{00000000-0006-0000-0000-000062000000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700:1</t>
        </r>
      </text>
    </comment>
    <comment ref="D76" authorId="0" shapeId="0" xr:uid="{00000000-0006-0000-0000-000063000000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700:1</t>
        </r>
      </text>
    </comment>
    <comment ref="C77" authorId="1" shapeId="0" xr:uid="{00000000-0006-0000-0000-000065000000}">
      <text>
        <r>
          <rPr>
            <sz val="12"/>
            <color indexed="81"/>
            <rFont val="Arial"/>
            <family val="2"/>
          </rPr>
          <t>CA-92</t>
        </r>
        <r>
          <rPr>
            <sz val="12"/>
            <color indexed="81"/>
            <rFont val="굴림"/>
            <family val="3"/>
            <charset val="129"/>
          </rPr>
          <t>의</t>
        </r>
        <r>
          <rPr>
            <sz val="12"/>
            <color indexed="81"/>
            <rFont val="Arial"/>
            <family val="2"/>
          </rPr>
          <t xml:space="preserve"> 16%</t>
        </r>
      </text>
    </comment>
    <comment ref="D77" authorId="0" shapeId="0" xr:uid="{00000000-0006-0000-0000-000066000000}">
      <text>
        <r>
          <rPr>
            <sz val="12"/>
            <color indexed="81"/>
            <rFont val="Arial"/>
            <family val="2"/>
          </rPr>
          <t>CA-92</t>
        </r>
        <r>
          <rPr>
            <sz val="12"/>
            <color indexed="81"/>
            <rFont val="굴림"/>
            <family val="3"/>
            <charset val="129"/>
          </rPr>
          <t>의</t>
        </r>
        <r>
          <rPr>
            <sz val="12"/>
            <color indexed="81"/>
            <rFont val="Arial"/>
            <family val="2"/>
          </rPr>
          <t xml:space="preserve"> 16%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Roh</author>
    <author>BY.Roh</author>
    <author>Soo Hyun Park</author>
    <author>ROH</author>
    <author>COM</author>
    <author>Baeyong Roh</author>
  </authors>
  <commentList>
    <comment ref="C5" authorId="0" shapeId="0" xr:uid="{BBB8B286-D8E3-43D5-8002-840F76F80363}">
      <text>
        <r>
          <rPr>
            <sz val="12"/>
            <color indexed="81"/>
            <rFont val="굴림"/>
            <family val="3"/>
            <charset val="129"/>
          </rPr>
          <t>타워 외부에 별도의 저수조가 있는 경우</t>
        </r>
      </text>
    </comment>
    <comment ref="N5" authorId="0" shapeId="0" xr:uid="{5CD8DF01-FD37-408E-AF88-6B9DBEAC9E67}">
      <text>
        <r>
          <rPr>
            <sz val="12"/>
            <color indexed="81"/>
            <rFont val="Arial"/>
            <family val="2"/>
          </rPr>
          <t xml:space="preserve">= </t>
        </r>
        <r>
          <rPr>
            <sz val="12"/>
            <color indexed="81"/>
            <rFont val="굴림"/>
            <family val="3"/>
            <charset val="129"/>
          </rPr>
          <t>증발량</t>
        </r>
        <r>
          <rPr>
            <sz val="12"/>
            <color indexed="81"/>
            <rFont val="Arial"/>
            <family val="2"/>
          </rPr>
          <t>/(CoC-1)</t>
        </r>
      </text>
    </comment>
    <comment ref="C6" authorId="1" shapeId="0" xr:uid="{C6BB7480-AFC1-4172-A9CC-1E92EE28853B}">
      <text>
        <r>
          <rPr>
            <sz val="12"/>
            <color indexed="81"/>
            <rFont val="Arial"/>
            <family val="2"/>
          </rPr>
          <t>Induced: 37.85 (10 gal/RT)
Forced: 18.93 (5 gal/RT)
Evacon: 11.36 (3 gal/RT)</t>
        </r>
      </text>
    </comment>
    <comment ref="N6" authorId="1" shapeId="0" xr:uid="{93338C01-3A22-4F2A-B72C-983469F927D3}">
      <text>
        <r>
          <rPr>
            <sz val="12"/>
            <color indexed="81"/>
            <rFont val="돋움"/>
            <family val="3"/>
            <charset val="129"/>
          </rPr>
          <t>각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수질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측정항목의</t>
        </r>
        <r>
          <rPr>
            <sz val="12"/>
            <color indexed="81"/>
            <rFont val="Arial"/>
            <family val="2"/>
          </rPr>
          <t xml:space="preserve"> "Cycled" </t>
        </r>
        <r>
          <rPr>
            <sz val="12"/>
            <color indexed="81"/>
            <rFont val="돋움"/>
            <family val="3"/>
            <charset val="129"/>
          </rPr>
          <t xml:space="preserve">숫자가
</t>
        </r>
        <r>
          <rPr>
            <sz val="12"/>
            <color indexed="81"/>
            <rFont val="Arial"/>
            <family val="2"/>
          </rPr>
          <t xml:space="preserve">"Limit" </t>
        </r>
        <r>
          <rPr>
            <sz val="12"/>
            <color indexed="81"/>
            <rFont val="돋움"/>
            <family val="3"/>
            <charset val="129"/>
          </rPr>
          <t>숫자를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초과하지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않도록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조정</t>
        </r>
      </text>
    </comment>
    <comment ref="C7" authorId="1" shapeId="0" xr:uid="{73B7CC27-4C41-40EE-9E8A-B2BE0ADBC3B6}">
      <text>
        <r>
          <rPr>
            <sz val="12"/>
            <color indexed="81"/>
            <rFont val="Arial"/>
            <family val="2"/>
          </rPr>
          <t xml:space="preserve">1 RT = 13 liter/min (Local)
US Towers: 1 RT = 3 gpm (11.355 liter/min)
</t>
        </r>
        <r>
          <rPr>
            <sz val="10"/>
            <color indexed="23"/>
            <rFont val="Arial"/>
            <family val="2"/>
          </rPr>
          <t>AWT: R = 3 gpm (11.355 lpm) x RT (Water-2000 Default)</t>
        </r>
      </text>
    </comment>
    <comment ref="N7" authorId="1" shapeId="0" xr:uid="{726D0EEF-832D-471A-B33D-D0E1F7BBFD0F}">
      <text>
        <r>
          <rPr>
            <sz val="12"/>
            <color indexed="81"/>
            <rFont val="Arial"/>
            <family val="2"/>
          </rPr>
          <t xml:space="preserve">= </t>
        </r>
        <r>
          <rPr>
            <sz val="12"/>
            <color indexed="81"/>
            <rFont val="굴림"/>
            <family val="3"/>
            <charset val="129"/>
          </rPr>
          <t>증발량</t>
        </r>
        <r>
          <rPr>
            <sz val="12"/>
            <color indexed="81"/>
            <rFont val="Arial"/>
            <family val="2"/>
          </rPr>
          <t>/(CoC-1)</t>
        </r>
      </text>
    </comment>
    <comment ref="C8" authorId="1" shapeId="0" xr:uid="{42F56AB4-70F2-4EED-A49C-4C612AC885E1}">
      <text>
        <r>
          <rPr>
            <sz val="12"/>
            <color indexed="81"/>
            <rFont val="Arial"/>
            <family val="2"/>
          </rPr>
          <t xml:space="preserve">5 C: 100% </t>
        </r>
        <r>
          <rPr>
            <sz val="12"/>
            <color indexed="81"/>
            <rFont val="굴림"/>
            <family val="3"/>
            <charset val="129"/>
          </rPr>
          <t xml:space="preserve">효율
</t>
        </r>
        <r>
          <rPr>
            <sz val="12"/>
            <color indexed="81"/>
            <rFont val="Arial"/>
            <family val="2"/>
          </rPr>
          <t xml:space="preserve">2.5 C: 50% </t>
        </r>
        <r>
          <rPr>
            <sz val="12"/>
            <color indexed="81"/>
            <rFont val="굴림"/>
            <family val="3"/>
            <charset val="129"/>
          </rPr>
          <t xml:space="preserve">효율
</t>
        </r>
        <r>
          <rPr>
            <sz val="12"/>
            <color indexed="81"/>
            <rFont val="Arial"/>
            <family val="2"/>
          </rPr>
          <t>Big System: Design delta-T</t>
        </r>
        <r>
          <rPr>
            <sz val="12"/>
            <color indexed="81"/>
            <rFont val="굴림"/>
            <family val="3"/>
            <charset val="129"/>
          </rPr>
          <t>가</t>
        </r>
        <r>
          <rPr>
            <sz val="12"/>
            <color indexed="81"/>
            <rFont val="Arial"/>
            <family val="2"/>
          </rPr>
          <t xml:space="preserve"> 10 C</t>
        </r>
        <r>
          <rPr>
            <sz val="12"/>
            <color indexed="81"/>
            <rFont val="굴림"/>
            <family val="3"/>
            <charset val="129"/>
          </rPr>
          <t>인지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확인
또는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실제</t>
        </r>
        <r>
          <rPr>
            <sz val="12"/>
            <color indexed="81"/>
            <rFont val="Arial"/>
            <family val="2"/>
          </rPr>
          <t xml:space="preserve"> (Return - Supply) </t>
        </r>
        <r>
          <rPr>
            <sz val="12"/>
            <color indexed="81"/>
            <rFont val="굴림"/>
            <family val="3"/>
            <charset val="129"/>
          </rPr>
          <t>온도차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측정</t>
        </r>
      </text>
    </comment>
    <comment ref="C9" authorId="1" shapeId="0" xr:uid="{512877AB-F803-4F7B-8C20-64AFE9971AFA}">
      <text>
        <r>
          <rPr>
            <sz val="12"/>
            <color indexed="81"/>
            <rFont val="Arial"/>
            <family val="2"/>
          </rPr>
          <t>delta-T 5 C</t>
        </r>
        <r>
          <rPr>
            <sz val="12"/>
            <color indexed="81"/>
            <rFont val="굴림"/>
            <family val="3"/>
            <charset val="129"/>
          </rPr>
          <t>일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때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순환수량의</t>
        </r>
        <r>
          <rPr>
            <sz val="12"/>
            <color indexed="81"/>
            <rFont val="Arial"/>
            <family val="2"/>
          </rPr>
          <t xml:space="preserve"> 0.72%</t>
        </r>
        <r>
          <rPr>
            <sz val="12"/>
            <color indexed="23"/>
            <rFont val="Arial"/>
            <family val="2"/>
          </rPr>
          <t xml:space="preserve">
</t>
        </r>
        <r>
          <rPr>
            <sz val="10"/>
            <color indexed="23"/>
            <rFont val="Arial"/>
            <family val="2"/>
          </rPr>
          <t>AWT: E = 0.001 x (DT F) x R x 0.8 = 0.0018 x (DT C) x R x 0.8
  0.8 = Factor for Sensible Heat Loss
  On average, 80% of the cooling (=heat loss) comes from evaporation,
  20% from sensible heat loss (No water loss)
  Colder weather reduces this factor (; the colder, the less E)
  Jim(Nov.00): Calgon used 0.7 in general
  Jim recommends 0.7 (30% sensible heat loss in Korea)</t>
        </r>
      </text>
    </comment>
    <comment ref="E9" authorId="0" shapeId="0" xr:uid="{8852E551-2DC9-4E17-AFF1-1BBC7D15F682}">
      <text>
        <r>
          <rPr>
            <sz val="12"/>
            <color indexed="81"/>
            <rFont val="Arial"/>
            <family val="2"/>
          </rPr>
          <t xml:space="preserve">Skin Temp = </t>
        </r>
        <r>
          <rPr>
            <sz val="12"/>
            <color indexed="81"/>
            <rFont val="굴림"/>
            <family val="3"/>
            <charset val="129"/>
          </rPr>
          <t>게이지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온도</t>
        </r>
        <r>
          <rPr>
            <sz val="12"/>
            <color indexed="81"/>
            <rFont val="Arial"/>
            <family val="2"/>
          </rPr>
          <t xml:space="preserve"> + 15</t>
        </r>
        <r>
          <rPr>
            <vertAlign val="superscript"/>
            <sz val="12"/>
            <color indexed="81"/>
            <rFont val="Arial"/>
            <family val="2"/>
          </rPr>
          <t>o</t>
        </r>
        <r>
          <rPr>
            <sz val="12"/>
            <color indexed="81"/>
            <rFont val="Arial"/>
            <family val="2"/>
          </rPr>
          <t xml:space="preserve">C
</t>
        </r>
        <r>
          <rPr>
            <sz val="12"/>
            <color indexed="81"/>
            <rFont val="굴림"/>
            <family val="3"/>
            <charset val="129"/>
          </rPr>
          <t>컴프레서</t>
        </r>
        <r>
          <rPr>
            <sz val="12"/>
            <color indexed="81"/>
            <rFont val="Arial"/>
            <family val="2"/>
          </rPr>
          <t>: 70</t>
        </r>
        <r>
          <rPr>
            <vertAlign val="superscript"/>
            <sz val="12"/>
            <color indexed="81"/>
            <rFont val="Arial"/>
            <family val="2"/>
          </rPr>
          <t>o</t>
        </r>
        <r>
          <rPr>
            <sz val="12"/>
            <color indexed="81"/>
            <rFont val="Arial"/>
            <family val="2"/>
          </rPr>
          <t>C</t>
        </r>
      </text>
    </comment>
    <comment ref="C10" authorId="1" shapeId="0" xr:uid="{BC9E6C6E-14BE-484F-8953-B5AFB05F56E2}">
      <text>
        <r>
          <rPr>
            <sz val="12"/>
            <color indexed="81"/>
            <rFont val="Arial"/>
            <family val="2"/>
          </rPr>
          <t>delta-T</t>
        </r>
        <r>
          <rPr>
            <sz val="12"/>
            <color indexed="81"/>
            <rFont val="굴림"/>
            <family val="3"/>
            <charset val="129"/>
          </rPr>
          <t>와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상관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없이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순환수량의</t>
        </r>
        <r>
          <rPr>
            <sz val="12"/>
            <color indexed="81"/>
            <rFont val="Arial"/>
            <family val="2"/>
          </rPr>
          <t xml:space="preserve"> 0.02%
</t>
        </r>
        <r>
          <rPr>
            <sz val="10"/>
            <color indexed="23"/>
            <rFont val="Arial"/>
            <family val="2"/>
          </rPr>
          <t>Normally ZERO (Jim on 111006)
AWT: D = (0.01~0.03) x R
   Dependsing on the age and design of the cooling tower.
   Can be as low as 0.001~0.005% in new and well maintained cooling towers.</t>
        </r>
      </text>
    </comment>
    <comment ref="C11" authorId="1" shapeId="0" xr:uid="{1BE1A37C-BF75-4176-B041-F30C76FC28BE}">
      <text>
        <r>
          <rPr>
            <sz val="12"/>
            <color indexed="81"/>
            <rFont val="Arial"/>
            <family val="2"/>
          </rPr>
          <t xml:space="preserve">= </t>
        </r>
        <r>
          <rPr>
            <sz val="12"/>
            <color indexed="81"/>
            <rFont val="굴림"/>
            <family val="3"/>
            <charset val="129"/>
          </rPr>
          <t>증발</t>
        </r>
        <r>
          <rPr>
            <sz val="12"/>
            <color indexed="81"/>
            <rFont val="Arial"/>
            <family val="2"/>
          </rPr>
          <t xml:space="preserve"> + 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 xml:space="preserve"> + </t>
        </r>
        <r>
          <rPr>
            <sz val="12"/>
            <color indexed="81"/>
            <rFont val="굴림"/>
            <family val="3"/>
            <charset val="129"/>
          </rPr>
          <t xml:space="preserve">블로우
</t>
        </r>
        <r>
          <rPr>
            <sz val="10"/>
            <color indexed="23"/>
            <rFont val="Arial"/>
            <family val="2"/>
          </rPr>
          <t>or E x CoC / (CoC-1) (Reference)</t>
        </r>
      </text>
    </comment>
    <comment ref="I11" authorId="0" shapeId="0" xr:uid="{566D22EE-8C0C-4DA5-B754-8F18A5E73DDC}">
      <text>
        <r>
          <rPr>
            <sz val="12"/>
            <color indexed="81"/>
            <rFont val="Arial"/>
            <family val="2"/>
          </rPr>
          <t>Chloride is not Limiting Factor in Water-2000</t>
        </r>
      </text>
    </comment>
    <comment ref="C12" authorId="1" shapeId="0" xr:uid="{E2682FBD-6FA4-4F4D-9C28-C519B892C004}">
      <text>
        <r>
          <rPr>
            <sz val="12"/>
            <color indexed="81"/>
            <rFont val="Arial"/>
            <family val="2"/>
          </rPr>
          <t xml:space="preserve">= 0.7 x </t>
        </r>
        <r>
          <rPr>
            <sz val="12"/>
            <color indexed="81"/>
            <rFont val="굴림"/>
            <family val="3"/>
            <charset val="129"/>
          </rPr>
          <t>보유수량</t>
        </r>
        <r>
          <rPr>
            <sz val="12"/>
            <color indexed="81"/>
            <rFont val="Arial"/>
            <family val="2"/>
          </rPr>
          <t xml:space="preserve"> / </t>
        </r>
        <r>
          <rPr>
            <sz val="12"/>
            <color indexed="81"/>
            <rFont val="굴림"/>
            <family val="3"/>
            <charset val="129"/>
          </rPr>
          <t>블로우량</t>
        </r>
        <r>
          <rPr>
            <sz val="12"/>
            <color indexed="81"/>
            <rFont val="돋움"/>
            <family val="3"/>
            <charset val="129"/>
          </rPr>
          <t xml:space="preserve">
</t>
        </r>
        <r>
          <rPr>
            <sz val="10"/>
            <color indexed="23"/>
            <rFont val="Arial"/>
            <family val="2"/>
          </rPr>
          <t>Time required to dilute chemical
to 50% of its original concentration</t>
        </r>
      </text>
    </comment>
    <comment ref="C15" authorId="1" shapeId="0" xr:uid="{7988E9C6-DED3-4CC3-BD9A-59D6EC9AFF79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100 ppm
PTSA; 100 ppb</t>
        </r>
      </text>
    </comment>
    <comment ref="D15" authorId="0" shapeId="0" xr:uid="{0A644EF5-A3AE-41C5-9234-A1004BEF885E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100 ppm</t>
        </r>
      </text>
    </comment>
    <comment ref="H15" authorId="2" shapeId="0" xr:uid="{08BD7344-F6F5-4863-8295-B403C1251F14}">
      <text>
        <r>
          <rPr>
            <sz val="10"/>
            <color indexed="81"/>
            <rFont val="Tahoma"/>
            <family val="2"/>
          </rPr>
          <t>210601 : 16,200-10,400-6,700-5,500</t>
        </r>
      </text>
    </comment>
    <comment ref="C16" authorId="1" shapeId="0" xr:uid="{41BBACB0-0630-4BD2-A4DB-E75DFD1851A4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100 ppm
Moly: 0.25 ppm</t>
        </r>
      </text>
    </comment>
    <comment ref="D16" authorId="0" shapeId="0" xr:uid="{417D1D72-DE2B-4C28-988A-67C2F2B562E6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100 ppm</t>
        </r>
      </text>
    </comment>
    <comment ref="H16" authorId="2" shapeId="0" xr:uid="{3C52D89D-537E-4CF4-80ED-FCC4AF4FE372}">
      <text>
        <r>
          <rPr>
            <sz val="10"/>
            <color indexed="81"/>
            <rFont val="Tahoma"/>
            <family val="2"/>
          </rPr>
          <t>210601 : 16,200-9,800-7,800-6,500</t>
        </r>
      </text>
    </comment>
    <comment ref="C17" authorId="1" shapeId="0" xr:uid="{22F07C3D-A0AF-4F31-9191-F5882AA0042D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10 ppm
PTSA: 40 ppb</t>
        </r>
      </text>
    </comment>
    <comment ref="D17" authorId="0" shapeId="0" xr:uid="{0D074217-7DD3-4B88-8366-579419CA84DD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10 ppm</t>
        </r>
      </text>
    </comment>
    <comment ref="H17" authorId="2" shapeId="0" xr:uid="{6CDC48CC-606D-4E0D-A118-4BD86D7009C3}">
      <text>
        <r>
          <rPr>
            <sz val="10"/>
            <color indexed="81"/>
            <rFont val="Tahoma"/>
            <family val="2"/>
          </rPr>
          <t>210601 : 33,000-21,400-18,700-14,500</t>
        </r>
      </text>
    </comment>
    <comment ref="C18" authorId="1" shapeId="0" xr:uid="{8C11C5BE-FF2C-46B4-BD39-57E9E5208F97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5 ppm
Azole: 2~4 ppm</t>
        </r>
      </text>
    </comment>
    <comment ref="D18" authorId="0" shapeId="0" xr:uid="{7F153C35-CB2F-4124-AE10-3394B176471A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5 ppm
Azole: 2~4 ppm</t>
        </r>
      </text>
    </comment>
    <comment ref="H18" authorId="3" shapeId="0" xr:uid="{53736CEB-62A1-452A-B995-3FC73A4978BC}">
      <text>
        <r>
          <rPr>
            <sz val="9"/>
            <color indexed="81"/>
            <rFont val="Tahoma"/>
            <family val="2"/>
          </rPr>
          <t>160805: 110,000-77,000-54,000-46,000</t>
        </r>
      </text>
    </comment>
    <comment ref="C19" authorId="1" shapeId="0" xr:uid="{DB420841-5F0A-4D6E-B53F-739574D4A8DA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8 ppm</t>
        </r>
      </text>
    </comment>
    <comment ref="D19" authorId="0" shapeId="0" xr:uid="{9C72DE2D-8951-41AB-9AC0-B6EFFAEE58CD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8 ppm</t>
        </r>
      </text>
    </comment>
    <comment ref="H19" authorId="3" shapeId="0" xr:uid="{2E4C46B5-165A-4172-B375-E4FAC2AE4C5A}">
      <text>
        <r>
          <rPr>
            <sz val="9"/>
            <color indexed="81"/>
            <rFont val="Tahoma"/>
            <family val="2"/>
          </rPr>
          <t>160805: 53,000-28,800-24,000-20,000</t>
        </r>
      </text>
    </comment>
    <comment ref="C20" authorId="1" shapeId="0" xr:uid="{660A8C6B-21EE-4645-99B9-B3E6C8452FB9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400 ppm
Moly: 0.25 ppm</t>
        </r>
      </text>
    </comment>
    <comment ref="D20" authorId="0" shapeId="0" xr:uid="{D61A9E2D-6721-48D8-B7D2-49B78DDBEE78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400 ppm</t>
        </r>
      </text>
    </comment>
    <comment ref="H20" authorId="2" shapeId="0" xr:uid="{F4F39071-23F6-467C-98B2-41A650E7F771}">
      <text>
        <r>
          <rPr>
            <sz val="10"/>
            <color indexed="81"/>
            <rFont val="Tahoma"/>
            <family val="2"/>
          </rPr>
          <t>210601 : 9,700-7,800-6,900-5,000</t>
        </r>
      </text>
    </comment>
    <comment ref="C21" authorId="1" shapeId="0" xr:uid="{86E195B9-6C74-4426-AA81-5F9360BA3DEE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28 ppm
28 x 71% converts to PO4 (20 ppm)</t>
        </r>
      </text>
    </comment>
    <comment ref="D21" authorId="0" shapeId="0" xr:uid="{871B503A-D6D3-4309-9479-88F43F4CE340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28 ppm</t>
        </r>
      </text>
    </comment>
    <comment ref="H21" authorId="4" shapeId="0" xr:uid="{30DCDDDD-7684-425E-8B90-46B6A83C9789}">
      <text>
        <r>
          <rPr>
            <sz val="9"/>
            <color indexed="81"/>
            <rFont val="Tahoma"/>
            <family val="2"/>
          </rPr>
          <t>210601: 17,600-14,300-11,000-9,000</t>
        </r>
      </text>
    </comment>
    <comment ref="C22" authorId="1" shapeId="0" xr:uid="{AB4FFAC5-3A8C-42AF-96A3-4F0125803C49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100~200 ppm</t>
        </r>
      </text>
    </comment>
    <comment ref="D22" authorId="0" shapeId="0" xr:uid="{85788034-133C-4E94-9171-1EDDCD3B341C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100~200 ppm</t>
        </r>
      </text>
    </comment>
    <comment ref="H22" authorId="2" shapeId="0" xr:uid="{845A24F6-C287-4CC3-88C9-324821657B06}">
      <text>
        <r>
          <rPr>
            <sz val="10"/>
            <color indexed="81"/>
            <rFont val="Tahoma"/>
            <family val="2"/>
          </rPr>
          <t>210601 : 18,000-12,000-10,200-8,400</t>
        </r>
      </text>
    </comment>
    <comment ref="C23" authorId="1" shapeId="0" xr:uid="{F7E815EF-FB92-4155-9A04-F5DCA0DB8562}">
      <text>
        <r>
          <rPr>
            <sz val="12"/>
            <color indexed="81"/>
            <rFont val="Arial"/>
            <family val="2"/>
          </rPr>
          <t xml:space="preserve">CaCl2: 92 ppm
</t>
        </r>
        <r>
          <rPr>
            <sz val="10"/>
            <color indexed="81"/>
            <rFont val="Arial"/>
            <family val="2"/>
          </rPr>
          <t xml:space="preserve">Target Ca: 20 ppm
CaCl2(M.W.=111): 20 x 111/40 = 55.5 ppm
CaCl2(25%): 55.5/0.3 = 185 ppm
Ca(40) : Cl2(71) = Ca(20) : Cl2(17.75): </t>
        </r>
        <r>
          <rPr>
            <sz val="10"/>
            <color indexed="81"/>
            <rFont val="굴림"/>
            <family val="3"/>
            <charset val="129"/>
          </rPr>
          <t>염화물</t>
        </r>
        <r>
          <rPr>
            <sz val="10"/>
            <color indexed="81"/>
            <rFont val="Arial"/>
            <family val="2"/>
          </rPr>
          <t xml:space="preserve"> 35,5 ppm </t>
        </r>
        <r>
          <rPr>
            <sz val="10"/>
            <color indexed="81"/>
            <rFont val="굴림"/>
            <family val="3"/>
            <charset val="129"/>
          </rPr>
          <t>증가</t>
        </r>
        <r>
          <rPr>
            <sz val="10"/>
            <color indexed="81"/>
            <rFont val="Arial"/>
            <family val="2"/>
          </rPr>
          <t xml:space="preserve">
</t>
        </r>
        <r>
          <rPr>
            <sz val="10"/>
            <color indexed="81"/>
            <rFont val="굴림"/>
            <family val="3"/>
            <charset val="129"/>
          </rPr>
          <t>물</t>
        </r>
        <r>
          <rPr>
            <sz val="10"/>
            <color indexed="81"/>
            <rFont val="Arial"/>
            <family val="2"/>
          </rPr>
          <t xml:space="preserve"> </t>
        </r>
        <r>
          <rPr>
            <sz val="10"/>
            <color indexed="81"/>
            <rFont val="굴림"/>
            <family val="3"/>
            <charset val="129"/>
          </rPr>
          <t>용해도</t>
        </r>
        <r>
          <rPr>
            <sz val="10"/>
            <color indexed="81"/>
            <rFont val="Arial"/>
            <family val="2"/>
          </rPr>
          <t>: 34g/100mL(25%) @-20</t>
        </r>
        <r>
          <rPr>
            <sz val="10"/>
            <color indexed="81"/>
            <rFont val="Arial Unicode MS"/>
            <family val="3"/>
            <charset val="129"/>
          </rPr>
          <t>℃</t>
        </r>
        <r>
          <rPr>
            <sz val="10"/>
            <color indexed="81"/>
            <rFont val="Arial"/>
            <family val="2"/>
          </rPr>
          <t>, 37.3g/100mL(27%)@0</t>
        </r>
        <r>
          <rPr>
            <sz val="10"/>
            <color indexed="81"/>
            <rFont val="Arial Unicode MS"/>
            <family val="3"/>
            <charset val="129"/>
          </rPr>
          <t>℃</t>
        </r>
        <r>
          <rPr>
            <sz val="10"/>
            <color indexed="81"/>
            <rFont val="Arial"/>
            <family val="2"/>
          </rPr>
          <t xml:space="preserve">
[</t>
        </r>
        <r>
          <rPr>
            <sz val="10"/>
            <color indexed="81"/>
            <rFont val="굴림"/>
            <family val="3"/>
            <charset val="129"/>
          </rPr>
          <t>출처</t>
        </r>
        <r>
          <rPr>
            <sz val="10"/>
            <color indexed="81"/>
            <rFont val="Arial"/>
            <family val="2"/>
          </rPr>
          <t xml:space="preserve">] </t>
        </r>
        <r>
          <rPr>
            <sz val="10"/>
            <color indexed="81"/>
            <rFont val="굴림"/>
            <family val="3"/>
            <charset val="129"/>
          </rPr>
          <t>염화칼슘</t>
        </r>
        <r>
          <rPr>
            <sz val="10"/>
            <color indexed="81"/>
            <rFont val="Arial"/>
            <family val="2"/>
          </rPr>
          <t>(Calcium Chloride)|</t>
        </r>
        <r>
          <rPr>
            <sz val="10"/>
            <color indexed="81"/>
            <rFont val="굴림"/>
            <family val="3"/>
            <charset val="129"/>
          </rPr>
          <t>작성자</t>
        </r>
        <r>
          <rPr>
            <sz val="10"/>
            <color indexed="81"/>
            <rFont val="Arial"/>
            <family val="2"/>
          </rPr>
          <t xml:space="preserve"> </t>
        </r>
        <r>
          <rPr>
            <sz val="10"/>
            <color indexed="81"/>
            <rFont val="굴림"/>
            <family val="3"/>
            <charset val="129"/>
          </rPr>
          <t>주식회사</t>
        </r>
        <r>
          <rPr>
            <sz val="10"/>
            <color indexed="81"/>
            <rFont val="Arial"/>
            <family val="2"/>
          </rPr>
          <t xml:space="preserve"> </t>
        </r>
        <r>
          <rPr>
            <sz val="10"/>
            <color indexed="81"/>
            <rFont val="굴림"/>
            <family val="3"/>
            <charset val="129"/>
          </rPr>
          <t xml:space="preserve">베크
</t>
        </r>
        <r>
          <rPr>
            <sz val="12"/>
            <color indexed="81"/>
            <rFont val="Arial"/>
            <family val="2"/>
          </rPr>
          <t xml:space="preserve">Ca(HCO3)2: </t>
        </r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1,443 ppm</t>
        </r>
        <r>
          <rPr>
            <sz val="10"/>
            <color indexed="81"/>
            <rFont val="굴림"/>
            <family val="3"/>
            <charset val="129"/>
          </rPr>
          <t xml:space="preserve">
</t>
        </r>
        <r>
          <rPr>
            <sz val="10"/>
            <color indexed="81"/>
            <rFont val="Arial"/>
            <family val="2"/>
          </rPr>
          <t>Ca: 50 ppm
Ca(HCO3)2: 50 x 162/40 = 202 ppm
Ca(HCO3)2(14%): 202/0.14 = 1,443 ppm</t>
        </r>
      </text>
    </comment>
    <comment ref="D23" authorId="0" shapeId="0" xr:uid="{C0176768-6870-4C12-B892-37E8F2A10344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185 ppm</t>
        </r>
      </text>
    </comment>
    <comment ref="H23" authorId="2" shapeId="0" xr:uid="{6E00AF1C-4F52-4F20-9752-099CE10879EA}">
      <text>
        <r>
          <rPr>
            <sz val="10"/>
            <color indexed="81"/>
            <rFont val="Tahoma"/>
            <family val="2"/>
          </rPr>
          <t>210601 : 5,000-3,200-2,700-2,240</t>
        </r>
      </text>
    </comment>
    <comment ref="C25" authorId="0" shapeId="0" xr:uid="{35CC7BDA-34F0-4122-A917-BDD3EC53CCE3}">
      <text>
        <r>
          <rPr>
            <sz val="12"/>
            <color indexed="81"/>
            <rFont val="Arial"/>
            <family val="2"/>
          </rPr>
          <t xml:space="preserve">100 ppm
 7% vs. 20%(MB-220)
</t>
        </r>
        <r>
          <rPr>
            <sz val="10"/>
            <color indexed="23"/>
            <rFont val="Arial"/>
            <family val="2"/>
          </rPr>
          <t>PAG: Typical Dosage 100 ppm
  Maint. Dosage: 35~219 ppm
  Initial Dosage: 144~883 ppm</t>
        </r>
      </text>
    </comment>
    <comment ref="H25" authorId="2" shapeId="0" xr:uid="{1E788428-B389-47E6-B9C8-725CE2700BAB}">
      <text>
        <r>
          <rPr>
            <sz val="10"/>
            <color indexed="81"/>
            <rFont val="Tahoma"/>
            <family val="2"/>
          </rPr>
          <t>210601 : 18,400-14,900-12,500-9,000</t>
        </r>
      </text>
    </comment>
    <comment ref="C26" authorId="0" shapeId="0" xr:uid="{F8D1AEAF-5248-4122-B810-6E254E2155ED}">
      <text>
        <r>
          <rPr>
            <sz val="12"/>
            <color indexed="81"/>
            <rFont val="Arial"/>
            <family val="2"/>
          </rPr>
          <t>100 ppm</t>
        </r>
      </text>
    </comment>
    <comment ref="H26" authorId="3" shapeId="0" xr:uid="{8DE0B88F-7649-4CF2-959B-42E4A6CCD316}">
      <text>
        <r>
          <rPr>
            <sz val="9"/>
            <color indexed="81"/>
            <rFont val="Tahoma"/>
            <family val="2"/>
          </rPr>
          <t>170901: 15,400-4,000-3,300-2,800</t>
        </r>
      </text>
    </comment>
    <comment ref="C27" authorId="0" shapeId="0" xr:uid="{02ECB6B9-BCC1-4A43-ACEC-81B4168508FB}">
      <text>
        <r>
          <rPr>
            <sz val="12"/>
            <color indexed="81"/>
            <rFont val="Arial"/>
            <family val="2"/>
          </rPr>
          <t xml:space="preserve">300 ppm
</t>
        </r>
        <r>
          <rPr>
            <sz val="10"/>
            <color indexed="23"/>
            <rFont val="Arial"/>
            <family val="2"/>
          </rPr>
          <t xml:space="preserve">PAG: Typical Dosage 300 ppm
  Maint. Dosage: </t>
        </r>
        <r>
          <rPr>
            <b/>
            <sz val="10"/>
            <color indexed="23"/>
            <rFont val="Arial"/>
            <family val="2"/>
          </rPr>
          <t>138</t>
        </r>
        <r>
          <rPr>
            <sz val="10"/>
            <color indexed="23"/>
            <rFont val="Arial"/>
            <family val="2"/>
          </rPr>
          <t>~342 ppm
  Initial Dosage: 342~693 ppm
Bacticide 45: 100 ppm
PAG: Typical Dosage 100 ppm (90 ppm as 50%)
  Maint. Dosage: 53~124 ppm
  Initial Dosage: 124~246 ppm</t>
        </r>
      </text>
    </comment>
    <comment ref="H27" authorId="3" shapeId="0" xr:uid="{7078A88E-7781-41EA-8128-B53FD35A26E3}">
      <text>
        <r>
          <rPr>
            <sz val="9"/>
            <color indexed="81"/>
            <rFont val="Tahoma"/>
            <family val="2"/>
          </rPr>
          <t>190911: 20,600-11,500-9,500-8,200</t>
        </r>
      </text>
    </comment>
    <comment ref="C28" authorId="0" shapeId="0" xr:uid="{981201B5-5029-4831-AFEF-1550BFA08A80}">
      <text>
        <r>
          <rPr>
            <sz val="12"/>
            <color indexed="81"/>
            <rFont val="Arial"/>
            <family val="2"/>
          </rPr>
          <t xml:space="preserve">40 ppm
</t>
        </r>
        <r>
          <rPr>
            <sz val="10"/>
            <color indexed="23"/>
            <rFont val="Arial"/>
            <family val="2"/>
          </rPr>
          <t>PAG CheckMark 40224
  Typical Dosage 10 ppm
  Maint. Dosage: 2.5~118 ppm
  Initial Dosage: 6~118 ppm
CheckMark 40224 Label
  25~120 ppm every 4 days or as needed</t>
        </r>
      </text>
    </comment>
    <comment ref="H28" authorId="2" shapeId="0" xr:uid="{E065E75A-09DD-46A6-99C4-9AD6F370C939}">
      <text>
        <r>
          <rPr>
            <sz val="10"/>
            <color indexed="81"/>
            <rFont val="Tahoma"/>
            <family val="2"/>
          </rPr>
          <t>210601 : 31,200-21,600-18,000-13,000</t>
        </r>
      </text>
    </comment>
    <comment ref="C29" authorId="0" shapeId="0" xr:uid="{546F6D86-3A04-4B0E-AD84-F3373A1B2ADF}">
      <text>
        <r>
          <rPr>
            <sz val="12"/>
            <color indexed="81"/>
            <rFont val="Arial"/>
            <family val="2"/>
          </rPr>
          <t xml:space="preserve">50~75 ppm
</t>
        </r>
        <r>
          <rPr>
            <sz val="10"/>
            <color indexed="23"/>
            <rFont val="굴림"/>
            <family val="3"/>
            <charset val="129"/>
          </rPr>
          <t>산화성을</t>
        </r>
        <r>
          <rPr>
            <sz val="10"/>
            <color indexed="23"/>
            <rFont val="Arial"/>
            <family val="2"/>
          </rPr>
          <t xml:space="preserve"> </t>
        </r>
        <r>
          <rPr>
            <sz val="10"/>
            <color indexed="23"/>
            <rFont val="굴림"/>
            <family val="3"/>
            <charset val="129"/>
          </rPr>
          <t>사용하고</t>
        </r>
        <r>
          <rPr>
            <sz val="10"/>
            <color indexed="23"/>
            <rFont val="Arial"/>
            <family val="2"/>
          </rPr>
          <t xml:space="preserve"> </t>
        </r>
        <r>
          <rPr>
            <sz val="10"/>
            <color indexed="23"/>
            <rFont val="굴림"/>
            <family val="3"/>
            <charset val="129"/>
          </rPr>
          <t>있는</t>
        </r>
        <r>
          <rPr>
            <sz val="10"/>
            <color indexed="23"/>
            <rFont val="Arial"/>
            <family val="2"/>
          </rPr>
          <t xml:space="preserve"> </t>
        </r>
        <r>
          <rPr>
            <sz val="10"/>
            <color indexed="23"/>
            <rFont val="굴림"/>
            <family val="3"/>
            <charset val="129"/>
          </rPr>
          <t>경우</t>
        </r>
        <r>
          <rPr>
            <sz val="10"/>
            <color indexed="23"/>
            <rFont val="Arial"/>
            <family val="2"/>
          </rPr>
          <t xml:space="preserve"> 15~25 ppm</t>
        </r>
      </text>
    </comment>
    <comment ref="H29" authorId="2" shapeId="0" xr:uid="{68513E32-A303-407D-B44B-430AF6A24B3A}">
      <text>
        <r>
          <rPr>
            <sz val="10"/>
            <color indexed="81"/>
            <rFont val="Tahoma"/>
            <family val="2"/>
          </rPr>
          <t>210601 : 38,600-26,100-20,000-16,000</t>
        </r>
      </text>
    </comment>
    <comment ref="C30" authorId="0" shapeId="0" xr:uid="{1E48FAB8-3B7A-4B08-8F41-C22467A4EEEB}">
      <text>
        <r>
          <rPr>
            <sz val="12"/>
            <color indexed="81"/>
            <rFont val="Arial"/>
            <family val="2"/>
          </rPr>
          <t xml:space="preserve">63 ppm
</t>
        </r>
        <r>
          <rPr>
            <sz val="10"/>
            <color indexed="23"/>
            <rFont val="Arial"/>
            <family val="2"/>
          </rPr>
          <t>1/2 of ActiChlor alone</t>
        </r>
      </text>
    </comment>
    <comment ref="H30" authorId="2" shapeId="0" xr:uid="{2AC10A9D-FBCA-40E1-9A83-B1E73F2E82B9}">
      <text>
        <r>
          <rPr>
            <sz val="10"/>
            <color indexed="81"/>
            <rFont val="Tahoma"/>
            <family val="2"/>
          </rPr>
          <t>210601 : 7,900-4,900-4,000-3,200</t>
        </r>
      </text>
    </comment>
    <comment ref="C31" authorId="0" shapeId="0" xr:uid="{144A78A6-DC16-46AC-BECB-87EBAFD65403}">
      <text>
        <r>
          <rPr>
            <sz val="12"/>
            <color indexed="81"/>
            <rFont val="Arial"/>
            <family val="2"/>
          </rPr>
          <t xml:space="preserve">13 ppm
</t>
        </r>
        <r>
          <rPr>
            <sz val="10"/>
            <color indexed="23"/>
            <rFont val="Arial"/>
            <family val="2"/>
          </rPr>
          <t>1/5 amount of ActiChlor</t>
        </r>
      </text>
    </comment>
    <comment ref="H31" authorId="2" shapeId="0" xr:uid="{435A8F47-EA81-4A41-8912-F3699C0B7411}">
      <text>
        <r>
          <rPr>
            <sz val="10"/>
            <color indexed="81"/>
            <rFont val="Tahoma"/>
            <family val="2"/>
          </rPr>
          <t>210601 : 20,100-16,800-15,600-11,000</t>
        </r>
      </text>
    </comment>
    <comment ref="C32" authorId="0" shapeId="0" xr:uid="{8182A8EB-6FAC-4D25-BF2F-D308FDDB72CB}">
      <text>
        <r>
          <rPr>
            <sz val="12"/>
            <color indexed="81"/>
            <rFont val="Arial"/>
            <family val="2"/>
          </rPr>
          <t xml:space="preserve">Typical: 100 ppm - </t>
        </r>
        <r>
          <rPr>
            <sz val="10"/>
            <color indexed="23"/>
            <rFont val="Arial"/>
            <family val="2"/>
          </rPr>
          <t>Min. 64 ppm
[Jim-120823: Dosages can be 100 ppm two times a week, or 65 ppm 3 times a week, or 30 ppm 5 times a week.]</t>
        </r>
      </text>
    </comment>
    <comment ref="H32" authorId="2" shapeId="0" xr:uid="{50B406A0-606B-4621-BD4E-515EE8968273}">
      <text>
        <r>
          <rPr>
            <sz val="10"/>
            <color indexed="81"/>
            <rFont val="Tahoma"/>
            <family val="2"/>
          </rPr>
          <t>210601 : 20,000-12,100-9,900-8,000</t>
        </r>
      </text>
    </comment>
    <comment ref="C33" authorId="0" shapeId="0" xr:uid="{D0337685-C33F-4FD6-8CC5-1D9A3C8F71FD}">
      <text>
        <r>
          <rPr>
            <b/>
            <sz val="10"/>
            <color indexed="81"/>
            <rFont val="Arial"/>
            <family val="2"/>
          </rPr>
          <t>CA-Tech Bulletin
  HTI &lt; 4 Hrs = 30 ppm x 7 days/week 
  HTI 4~24 Hrs = 60 ppm x 3 days/week 
  HTI 24~48 Hrs = 90 ppm x 2 days/week 
  HTI &gt; 48 Hrs = 120 ppm x 2 days/week40 ppm</t>
        </r>
        <r>
          <rPr>
            <sz val="12"/>
            <color indexed="81"/>
            <rFont val="Arial"/>
            <family val="2"/>
          </rPr>
          <t xml:space="preserve">
</t>
        </r>
        <r>
          <rPr>
            <sz val="10"/>
            <color indexed="23"/>
            <rFont val="Arial"/>
            <family val="2"/>
          </rPr>
          <t>For Algae: 40 ppm as product (3 ppm Total Chlorine)
Minimum 13.4 ppm
PAG
  30~90 ppm 3 to 7 times/week
  1.0~1.5 ppm FRH Min. 1 hour
Label
  Total Bromine: 1.0~9.0 ppm
  2 oz/1,000 gal (15 ppm as product) = 3.4 ppm T-Br (1.47 ppm as T-Cl2)
  40 ppm as product = 9.0 ppm as T-Br (</t>
        </r>
        <r>
          <rPr>
            <sz val="10"/>
            <color indexed="23"/>
            <rFont val="돋움"/>
            <family val="3"/>
            <charset val="129"/>
          </rPr>
          <t>÷</t>
        </r>
        <r>
          <rPr>
            <sz val="10"/>
            <color indexed="23"/>
            <rFont val="Arial"/>
            <family val="2"/>
          </rPr>
          <t xml:space="preserve"> 2.3 = 4 ppm as T-Cl2)
</t>
        </r>
      </text>
    </comment>
    <comment ref="H33" authorId="2" shapeId="0" xr:uid="{A497B9BC-DD3A-4FEB-B131-482A90427D4E}">
      <text>
        <r>
          <rPr>
            <sz val="10"/>
            <color indexed="81"/>
            <rFont val="Tahoma"/>
            <family val="2"/>
          </rPr>
          <t>210601 : 23,400-16,000-13,800-11,500</t>
        </r>
      </text>
    </comment>
    <comment ref="D35" authorId="3" shapeId="0" xr:uid="{84B4FC08-089B-43B9-B505-34A044080439}">
      <text>
        <r>
          <rPr>
            <sz val="9"/>
            <color indexed="81"/>
            <rFont val="Tahoma"/>
            <family val="2"/>
          </rPr>
          <t>(Target Residual Chlorine) x (Recirc.Rate; Ton/hr) x (A/100) x (100/B) = Hourly consumption (kg/hr)
A: Demand or consumption ratio / 30(Winter) - 70(Summer), normally 50 with chlorine
   20(Winter) - 60(Summer), normally 40 with bromine
B: Chlorine content (normally 12%)</t>
        </r>
      </text>
    </comment>
    <comment ref="H35" authorId="2" shapeId="0" xr:uid="{8338C0C3-4540-4D75-ABFC-1FDBE4B3125A}">
      <text>
        <r>
          <rPr>
            <sz val="10"/>
            <color indexed="81"/>
            <rFont val="Tahoma"/>
            <family val="2"/>
          </rPr>
          <t>210601 : 7,900-4,900-4,000-3,200</t>
        </r>
      </text>
    </comment>
    <comment ref="D36" authorId="3" shapeId="0" xr:uid="{6C0756C1-92CE-49E5-9A9A-C5E8A4B702B2}">
      <text>
        <r>
          <rPr>
            <sz val="9"/>
            <color indexed="81"/>
            <rFont val="Tahoma"/>
            <family val="2"/>
          </rPr>
          <t>CONTINUOUS FEED: Apply an initial dose of 4 lb. per 10,000 gallons (48 ppm) based on system volume. Then feed at 2 lb per 10,000 gallons (24 ppm) based on system bleed and adjust feed rate to maintain 0.2 to 1.5 ppm FRH.</t>
        </r>
      </text>
    </comment>
    <comment ref="H36" authorId="2" shapeId="0" xr:uid="{541D1665-22B3-4708-8A69-8C62998FA212}">
      <text>
        <r>
          <rPr>
            <sz val="10"/>
            <color indexed="81"/>
            <rFont val="Tahoma"/>
            <family val="2"/>
          </rPr>
          <t>210601 : 23,400-16,000-13,800-11,500</t>
        </r>
      </text>
    </comment>
    <comment ref="C38" authorId="0" shapeId="0" xr:uid="{275D4262-7559-4075-A5A3-48A58E052D08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25~50 ppm in PAG</t>
        </r>
      </text>
    </comment>
    <comment ref="H38" authorId="3" shapeId="0" xr:uid="{DEB4E164-F711-4E60-B28C-C5D4990F5874}">
      <text>
        <r>
          <rPr>
            <sz val="9"/>
            <color indexed="81"/>
            <rFont val="Tahoma"/>
            <family val="2"/>
          </rPr>
          <t>181106: 27,500-10,000-8,500-7,000</t>
        </r>
      </text>
    </comment>
    <comment ref="C39" authorId="0" shapeId="0" xr:uid="{0CF74D23-674E-4E4B-A3A9-E9EE97788D03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500x3.3=1,650 ppm</t>
        </r>
      </text>
    </comment>
    <comment ref="C40" authorId="0" shapeId="0" xr:uid="{0C7E39C8-F948-4357-BCB9-8ED6DA65DEF3}">
      <text>
        <r>
          <rPr>
            <sz val="12"/>
            <color indexed="81"/>
            <rFont val="Arial"/>
            <family val="2"/>
          </rPr>
          <t xml:space="preserve">Maintenance &amp; Prevention: </t>
        </r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500 ppm
Cleaning: </t>
        </r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1,000 ppm</t>
        </r>
      </text>
    </comment>
    <comment ref="H40" authorId="2" shapeId="0" xr:uid="{E55BD558-6C71-4ADE-92BE-6F3FA230671E}">
      <text>
        <r>
          <rPr>
            <sz val="10"/>
            <color indexed="81"/>
            <rFont val="Tahoma"/>
            <family val="2"/>
          </rPr>
          <t>210601 : 14,300-8,800-6,600-5,000</t>
        </r>
      </text>
    </comment>
    <comment ref="C41" authorId="0" shapeId="0" xr:uid="{40840988-ECB3-4120-96BA-9894B2E6FD26}">
      <text>
        <r>
          <rPr>
            <sz val="12"/>
            <color indexed="81"/>
            <rFont val="Arial"/>
            <family val="2"/>
          </rPr>
          <t xml:space="preserve">Maintenance &amp; Prevention: </t>
        </r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500 ppm
Cleaning: </t>
        </r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1,000 ppm</t>
        </r>
      </text>
    </comment>
    <comment ref="H41" authorId="2" shapeId="0" xr:uid="{4E94AEC6-B6FA-4A8F-BE35-BE99E4C30D80}">
      <text>
        <r>
          <rPr>
            <sz val="10"/>
            <color indexed="81"/>
            <rFont val="Tahoma"/>
            <family val="2"/>
          </rPr>
          <t>210601 : 275,000-187,000-143,000-110,000</t>
        </r>
      </text>
    </comment>
    <comment ref="C43" authorId="1" shapeId="0" xr:uid="{872284FC-250A-47D8-B3BE-78CD1A620446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100 ppm</t>
        </r>
      </text>
    </comment>
    <comment ref="D43" authorId="0" shapeId="0" xr:uid="{09ED15B9-F425-45DF-B6FF-E2D0EE7FBADC}">
      <text>
        <r>
          <rPr>
            <sz val="12"/>
            <color indexed="81"/>
            <rFont val="Arial"/>
            <family val="2"/>
          </rPr>
          <t xml:space="preserve">Liter/day </t>
        </r>
        <r>
          <rPr>
            <sz val="12"/>
            <color indexed="81"/>
            <rFont val="돋움"/>
            <family val="3"/>
            <charset val="129"/>
          </rPr>
          <t>÷</t>
        </r>
        <r>
          <rPr>
            <sz val="12"/>
            <color indexed="81"/>
            <rFont val="Arial"/>
            <family val="2"/>
          </rPr>
          <t xml:space="preserve"> hours/day</t>
        </r>
      </text>
    </comment>
    <comment ref="E43" authorId="5" shapeId="0" xr:uid="{8051EB46-802E-4A33-B933-0A02A0D86E56}">
      <text>
        <r>
          <rPr>
            <sz val="12"/>
            <color indexed="81"/>
            <rFont val="Arial"/>
            <family val="2"/>
          </rPr>
          <t xml:space="preserve">kg/month ÷ 0.005(0.5% solution) </t>
        </r>
        <r>
          <rPr>
            <sz val="12"/>
            <color indexed="81"/>
            <rFont val="돋움"/>
            <family val="3"/>
            <charset val="129"/>
          </rPr>
          <t>÷</t>
        </r>
        <r>
          <rPr>
            <sz val="12"/>
            <color indexed="81"/>
            <rFont val="Arial"/>
            <family val="2"/>
          </rPr>
          <t xml:space="preserve"> days/month</t>
        </r>
      </text>
    </comment>
    <comment ref="F43" authorId="5" shapeId="0" xr:uid="{412AFD24-ACAE-40CE-AD32-A33DDFCD1B5E}">
      <text>
        <r>
          <rPr>
            <sz val="12"/>
            <color indexed="81"/>
            <rFont val="Arial"/>
            <family val="2"/>
          </rPr>
          <t>kg/year ÷ months</t>
        </r>
      </text>
    </comment>
    <comment ref="G43" authorId="0" shapeId="0" xr:uid="{BC8E68E7-E586-47D4-8295-B0ED83D070BF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25 ppm</t>
        </r>
      </text>
    </comment>
    <comment ref="H43" authorId="2" shapeId="0" xr:uid="{EE4F877A-E4AC-4C77-B25D-BAC23C77FF06}">
      <text>
        <r>
          <rPr>
            <sz val="10"/>
            <color indexed="81"/>
            <rFont val="Tahoma"/>
            <family val="2"/>
          </rPr>
          <t>210601 : 330,000-253,000-220,000-187,000</t>
        </r>
      </text>
    </comment>
    <comment ref="C44" authorId="1" shapeId="0" xr:uid="{F94C320C-A8B8-484D-B14E-F90F47F9087F}">
      <text>
        <r>
          <rPr>
            <sz val="12"/>
            <color indexed="81"/>
            <rFont val="굴림"/>
            <family val="3"/>
            <charset val="129"/>
          </rPr>
          <t>부하율</t>
        </r>
        <r>
          <rPr>
            <sz val="12"/>
            <color indexed="81"/>
            <rFont val="Arial"/>
            <family val="2"/>
          </rPr>
          <t xml:space="preserve"> 50% x 24</t>
        </r>
        <r>
          <rPr>
            <sz val="12"/>
            <color indexed="81"/>
            <rFont val="굴림"/>
            <family val="3"/>
            <charset val="129"/>
          </rPr>
          <t>시간</t>
        </r>
        <r>
          <rPr>
            <sz val="12"/>
            <color indexed="81"/>
            <rFont val="Arial"/>
            <family val="2"/>
          </rPr>
          <t>/</t>
        </r>
        <r>
          <rPr>
            <sz val="12"/>
            <color indexed="81"/>
            <rFont val="굴림"/>
            <family val="3"/>
            <charset val="129"/>
          </rPr>
          <t>일</t>
        </r>
        <r>
          <rPr>
            <sz val="12"/>
            <color indexed="81"/>
            <rFont val="Arial"/>
            <family val="2"/>
          </rPr>
          <t xml:space="preserve"> x 7</t>
        </r>
        <r>
          <rPr>
            <sz val="12"/>
            <color indexed="81"/>
            <rFont val="굴림"/>
            <family val="3"/>
            <charset val="129"/>
          </rPr>
          <t>일</t>
        </r>
        <r>
          <rPr>
            <sz val="12"/>
            <color indexed="81"/>
            <rFont val="Arial"/>
            <family val="2"/>
          </rPr>
          <t>/</t>
        </r>
        <r>
          <rPr>
            <sz val="12"/>
            <color indexed="81"/>
            <rFont val="굴림"/>
            <family val="3"/>
            <charset val="129"/>
          </rPr>
          <t>주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가동하는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냉각수계에</t>
        </r>
        <r>
          <rPr>
            <sz val="12"/>
            <color indexed="81"/>
            <rFont val="Arial"/>
            <family val="2"/>
          </rPr>
          <t xml:space="preserve"> CoC 3.0 </t>
        </r>
        <r>
          <rPr>
            <sz val="12"/>
            <color indexed="81"/>
            <rFont val="굴림"/>
            <family val="3"/>
            <charset val="129"/>
          </rPr>
          <t>기준</t>
        </r>
        <r>
          <rPr>
            <sz val="12"/>
            <color indexed="81"/>
            <rFont val="Arial"/>
            <family val="2"/>
          </rPr>
          <t xml:space="preserve"> 100 RT</t>
        </r>
        <r>
          <rPr>
            <sz val="12"/>
            <color indexed="81"/>
            <rFont val="굴림"/>
            <family val="3"/>
            <charset val="129"/>
          </rPr>
          <t>당</t>
        </r>
        <r>
          <rPr>
            <sz val="12"/>
            <color indexed="81"/>
            <rFont val="Arial"/>
            <family val="2"/>
          </rPr>
          <t xml:space="preserve"> 4</t>
        </r>
        <r>
          <rPr>
            <sz val="12"/>
            <color indexed="81"/>
            <rFont val="굴림"/>
            <family val="3"/>
            <charset val="129"/>
          </rPr>
          <t>개</t>
        </r>
        <r>
          <rPr>
            <sz val="12"/>
            <color indexed="81"/>
            <rFont val="Arial"/>
            <family val="2"/>
          </rPr>
          <t>/</t>
        </r>
        <r>
          <rPr>
            <sz val="12"/>
            <color indexed="81"/>
            <rFont val="굴림"/>
            <family val="3"/>
            <charset val="129"/>
          </rPr>
          <t>월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투입</t>
        </r>
      </text>
    </comment>
    <comment ref="H44" authorId="2" shapeId="0" xr:uid="{37B955BD-C840-432B-AABD-FEC579A9ABE7}">
      <text>
        <r>
          <rPr>
            <sz val="10"/>
            <color indexed="81"/>
            <rFont val="Tahoma"/>
            <family val="2"/>
          </rPr>
          <t>210601 : 451,000-330,000-264,000-200,000</t>
        </r>
      </text>
    </comment>
    <comment ref="C46" authorId="0" shapeId="0" xr:uid="{49252BA3-5D2A-49EB-8761-8CC403D947DF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4 ppm (3.6~18 ppm)
Matt: 2% Solution
Jim's CoolCalc = 2.4 ppm
APTech's PB = 2.4 ppm
  0.02 lb product/1,000 gal will give 2 ppm Free Chlorine</t>
        </r>
      </text>
    </comment>
    <comment ref="C47" authorId="0" shapeId="0" xr:uid="{A407EE01-952B-4AEE-964A-D8C3779BC424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1.2 ppm</t>
        </r>
      </text>
    </comment>
    <comment ref="C48" authorId="0" shapeId="0" xr:uid="{7C49B2BB-1069-4730-8F42-9EAB9FB86072}">
      <text>
        <r>
          <rPr>
            <sz val="12"/>
            <color indexed="81"/>
            <rFont val="Arial"/>
            <family val="2"/>
          </rPr>
          <t>APTech-PB &amp; CA-PAG: 1.2 ppm (0.01 lb product/1,000 gal)
APTech-PB: 1.7% Solution
   0.01 lb (product) /1,000 gal = 0.588 lb (solution)/1,000 gal
Matt (211005): 0.3~0.5% Solution (0.5% in Calc-Cooling)</t>
        </r>
      </text>
    </comment>
    <comment ref="H48" authorId="4" shapeId="0" xr:uid="{15E3F1AB-99F8-41C7-A8E1-A094CF890F07}">
      <text>
        <r>
          <rPr>
            <sz val="9"/>
            <color indexed="81"/>
            <rFont val="Tahoma"/>
            <family val="2"/>
          </rPr>
          <t>211213 (kg): 440,529-308,370-264,317-220,264
(2.27kg Bottle): 1,000,000-700,000-600,000-500,000</t>
        </r>
      </text>
    </comment>
    <comment ref="C49" authorId="0" shapeId="0" xr:uid="{5219919D-A687-4E81-BFB4-D7F14290CF99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40 ppm
</t>
        </r>
        <r>
          <rPr>
            <sz val="10"/>
            <color indexed="81"/>
            <rFont val="Arial"/>
            <family val="2"/>
          </rPr>
          <t>US-CA Label (047C)
Initial: 8 oz/10,000 gal = 6.4 ppm
Maint: 0.8~1.6 oz/10,000 gal</t>
        </r>
      </text>
    </comment>
    <comment ref="H49" authorId="2" shapeId="0" xr:uid="{5A7E65B0-B166-401F-A7EF-91BD0643C312}">
      <text>
        <r>
          <rPr>
            <sz val="10"/>
            <color indexed="81"/>
            <rFont val="Tahoma"/>
            <family val="2"/>
          </rPr>
          <t>210601 : 143,000-88,000-73,700-63,800</t>
        </r>
      </text>
    </comment>
    <comment ref="C50" authorId="0" shapeId="0" xr:uid="{CDB96B3E-8F8D-4080-B600-6209768CF163}">
      <text>
        <r>
          <rPr>
            <sz val="12"/>
            <color indexed="81"/>
            <rFont val="Arial"/>
            <family val="2"/>
          </rPr>
          <t xml:space="preserve">EnviroTech: 1 Tablet (100g) treats 500~1,000 gallon
  for up to 3 weeks = 25~50 ppm
</t>
        </r>
        <r>
          <rPr>
            <sz val="10"/>
            <color indexed="81"/>
            <rFont val="Arial"/>
            <family val="2"/>
          </rPr>
          <t>PAG (EnviroBeom Tabs)
  Typical Dosage: 1 Tablet/1,000 gal
  Maint. &amp; Initial Dosage: 1~2 tablets/1,000 gal
PAG (SumpBuddy)
  Typical Dosage: 200 g/1.000 gal: 50 ppm
  Label Dosage: 200~400 g/1,000 gal: 50~100 ppm</t>
        </r>
      </text>
    </comment>
    <comment ref="H56" authorId="4" shapeId="0" xr:uid="{4D2D59A5-C666-43BA-8E26-C7228414B0D4}">
      <text>
        <r>
          <rPr>
            <sz val="9"/>
            <color indexed="81"/>
            <rFont val="Tahoma"/>
            <family val="2"/>
          </rPr>
          <t>210601: 14,000-9,500-8,500-7,500</t>
        </r>
      </text>
    </comment>
    <comment ref="H57" authorId="4" shapeId="0" xr:uid="{731334D5-8A22-45E0-854D-A536965DB536}">
      <text>
        <r>
          <rPr>
            <sz val="9"/>
            <color indexed="81"/>
            <rFont val="Tahoma"/>
            <family val="2"/>
          </rPr>
          <t>210601: 12,900-9,000-7,500-6,500</t>
        </r>
      </text>
    </comment>
    <comment ref="F58" authorId="3" shapeId="0" xr:uid="{1CE5CDFD-ECF0-4D09-ADAF-1F6C134A9BF2}">
      <text>
        <r>
          <rPr>
            <sz val="9"/>
            <color indexed="81"/>
            <rFont val="Tahoma"/>
            <family val="2"/>
          </rPr>
          <t>APTech Product Bulletin
Application/Feedrate:  One L1-C Tablet per 1000 gallon doses 34.4 ppm as nitrite (as NO2).
0.5 lb/1,000 gal = 0.227 kg/3,785 L = 60 ppm increases 34.4 ppm as NO2 = 52 ppm as NaNO2
So, 600 ppm as NaNO2 = 692 ppm as Product</t>
        </r>
      </text>
    </comment>
    <comment ref="H58" authorId="2" shapeId="0" xr:uid="{0CA4063E-BE1C-4164-BC3F-4D02E5007E5F}">
      <text>
        <r>
          <rPr>
            <sz val="10"/>
            <color indexed="81"/>
            <rFont val="Tahoma"/>
            <family val="2"/>
          </rPr>
          <t>210601 : 1,296,000-929,000-799,200-691,200</t>
        </r>
      </text>
    </comment>
    <comment ref="F59" authorId="3" shapeId="0" xr:uid="{803D05F2-0EF0-4C34-9AB6-BA41941DD4A3}">
      <text>
        <r>
          <rPr>
            <sz val="9"/>
            <color indexed="81"/>
            <rFont val="Tahoma"/>
            <family val="2"/>
          </rPr>
          <t>1,050 ppm as product = 50 ppm as Mo</t>
        </r>
      </text>
    </comment>
    <comment ref="H59" authorId="4" shapeId="0" xr:uid="{4047DCC8-4FDC-44B2-A5D9-0342E6630533}">
      <text>
        <r>
          <rPr>
            <sz val="9"/>
            <color indexed="81"/>
            <rFont val="Tahoma"/>
            <family val="2"/>
          </rPr>
          <t>210601: 39,400-19,000-16,000-14,000</t>
        </r>
      </text>
    </comment>
    <comment ref="F60" authorId="3" shapeId="0" xr:uid="{13D7ACC1-452D-4488-BBCD-5A15C949E4B6}">
      <text>
        <r>
          <rPr>
            <sz val="9"/>
            <color indexed="81"/>
            <rFont val="Tahoma"/>
            <family val="2"/>
          </rPr>
          <t>Tablet (New)
  48 ppm as product = 10.5 ppm Mo
  230 ppm as product = 50 ppm Mo
  $220/9.1 kg = $24/kg x 1,200 x 1.15 x 1.15 = 38,000 Won/kg
HP888STX(Cmo-C STX)
  200 ppm as product = 50 ppm as Mo
  0.8 lb x 30 = 24 lb(10.9 kg)/case
  $276/10.9 kg = $25/kg x 1,200 x 1.15 x 1.15 = 40,000 Won/kg</t>
        </r>
      </text>
    </comment>
    <comment ref="H60" authorId="2" shapeId="0" xr:uid="{0AC7EF6B-52C8-4C87-9310-66B14CF084CF}">
      <text>
        <r>
          <rPr>
            <sz val="10"/>
            <color indexed="81"/>
            <rFont val="Tahoma"/>
            <family val="2"/>
          </rPr>
          <t>210601 : 2,530,000-1,870,000-1,540,000-1,200,000</t>
        </r>
      </text>
    </comment>
    <comment ref="F61" authorId="0" shapeId="0" xr:uid="{E1E9BC72-F49E-47E3-A4FD-DF32B46C7698}">
      <text>
        <r>
          <rPr>
            <sz val="12"/>
            <color indexed="81"/>
            <rFont val="Arial"/>
            <family val="2"/>
          </rPr>
          <t>120 ppm x 4 times a year</t>
        </r>
      </text>
    </comment>
    <comment ref="H61" authorId="3" shapeId="0" xr:uid="{EDDE226C-340E-4F2D-868C-96BD0791CCC4}">
      <text>
        <r>
          <rPr>
            <sz val="9"/>
            <color indexed="81"/>
            <rFont val="Tahoma"/>
            <family val="2"/>
          </rPr>
          <t>170901: 15,400-4,000-3,300-2,800</t>
        </r>
      </text>
    </comment>
    <comment ref="C64" authorId="1" shapeId="0" xr:uid="{79CD0F68-47E8-4455-BC9B-6A8435FA44A5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100 ppm</t>
        </r>
      </text>
    </comment>
    <comment ref="D64" authorId="0" shapeId="0" xr:uid="{24A0427E-1269-4B68-B736-BFC547F27684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100 ppm</t>
        </r>
      </text>
    </comment>
    <comment ref="H64" authorId="3" shapeId="0" xr:uid="{886D7E9B-3EF4-431A-B021-459260713B2D}">
      <text>
        <r>
          <rPr>
            <sz val="9"/>
            <color indexed="81"/>
            <rFont val="Tahoma"/>
            <family val="2"/>
          </rPr>
          <t>171123: 12,200-6,000-5,000-4,000</t>
        </r>
      </text>
    </comment>
    <comment ref="C65" authorId="1" shapeId="0" xr:uid="{1B9B262A-48FD-46CF-84D2-7E5BCB0143F7}">
      <text>
        <r>
          <rPr>
            <sz val="12"/>
            <color indexed="81"/>
            <rFont val="굴림"/>
            <family val="3"/>
            <charset val="129"/>
          </rPr>
          <t>보유수량에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700:1</t>
        </r>
      </text>
    </comment>
    <comment ref="D65" authorId="0" shapeId="0" xr:uid="{9B720667-F52B-4B3B-92A4-B646164B9A44}">
      <text>
        <r>
          <rPr>
            <sz val="12"/>
            <color indexed="81"/>
            <rFont val="Arial"/>
            <family val="2"/>
          </rPr>
          <t>(</t>
        </r>
        <r>
          <rPr>
            <sz val="12"/>
            <color indexed="81"/>
            <rFont val="굴림"/>
            <family val="3"/>
            <charset val="129"/>
          </rPr>
          <t>블로우</t>
        </r>
        <r>
          <rPr>
            <sz val="12"/>
            <color indexed="81"/>
            <rFont val="Arial"/>
            <family val="2"/>
          </rPr>
          <t>+</t>
        </r>
        <r>
          <rPr>
            <sz val="12"/>
            <color indexed="81"/>
            <rFont val="굴림"/>
            <family val="3"/>
            <charset val="129"/>
          </rPr>
          <t>비산</t>
        </r>
        <r>
          <rPr>
            <sz val="12"/>
            <color indexed="81"/>
            <rFont val="Arial"/>
            <family val="2"/>
          </rPr>
          <t>)</t>
        </r>
        <r>
          <rPr>
            <sz val="12"/>
            <color indexed="81"/>
            <rFont val="굴림"/>
            <family val="3"/>
            <charset val="129"/>
          </rPr>
          <t>에</t>
        </r>
        <r>
          <rPr>
            <sz val="12"/>
            <color indexed="81"/>
            <rFont val="Arial"/>
            <family val="2"/>
          </rPr>
          <t xml:space="preserve"> </t>
        </r>
        <r>
          <rPr>
            <sz val="12"/>
            <color indexed="81"/>
            <rFont val="굴림"/>
            <family val="3"/>
            <charset val="129"/>
          </rPr>
          <t>대해</t>
        </r>
        <r>
          <rPr>
            <sz val="12"/>
            <color indexed="81"/>
            <rFont val="Arial"/>
            <family val="2"/>
          </rPr>
          <t xml:space="preserve"> 700:1</t>
        </r>
      </text>
    </comment>
    <comment ref="H65" authorId="3" shapeId="0" xr:uid="{2191C2A0-EC18-4008-975D-CA07B14CD4CE}">
      <text>
        <r>
          <rPr>
            <sz val="9"/>
            <color indexed="81"/>
            <rFont val="Tahoma"/>
            <family val="2"/>
          </rPr>
          <t>171123: 12,200-6,000-5,000-4,000</t>
        </r>
      </text>
    </comment>
    <comment ref="C66" authorId="1" shapeId="0" xr:uid="{087599C4-CCA8-4821-A67B-D4E6BDE78316}">
      <text>
        <r>
          <rPr>
            <sz val="12"/>
            <color indexed="81"/>
            <rFont val="Arial"/>
            <family val="2"/>
          </rPr>
          <t>CA-92</t>
        </r>
        <r>
          <rPr>
            <sz val="12"/>
            <color indexed="81"/>
            <rFont val="굴림"/>
            <family val="3"/>
            <charset val="129"/>
          </rPr>
          <t>의</t>
        </r>
        <r>
          <rPr>
            <sz val="12"/>
            <color indexed="81"/>
            <rFont val="Arial"/>
            <family val="2"/>
          </rPr>
          <t xml:space="preserve"> 16%</t>
        </r>
      </text>
    </comment>
    <comment ref="D66" authorId="0" shapeId="0" xr:uid="{6BE84F53-818F-48EF-92C6-0D1F853D2E7D}">
      <text>
        <r>
          <rPr>
            <sz val="12"/>
            <color indexed="81"/>
            <rFont val="Arial"/>
            <family val="2"/>
          </rPr>
          <t>CA-92</t>
        </r>
        <r>
          <rPr>
            <sz val="12"/>
            <color indexed="81"/>
            <rFont val="굴림"/>
            <family val="3"/>
            <charset val="129"/>
          </rPr>
          <t>의</t>
        </r>
        <r>
          <rPr>
            <sz val="12"/>
            <color indexed="81"/>
            <rFont val="Arial"/>
            <family val="2"/>
          </rPr>
          <t xml:space="preserve"> 16%</t>
        </r>
      </text>
    </comment>
    <comment ref="H66" authorId="3" shapeId="0" xr:uid="{5050F8D4-86C4-4815-ABFD-73E8A588BBE0}">
      <text>
        <r>
          <rPr>
            <sz val="9"/>
            <color indexed="81"/>
            <rFont val="Tahoma"/>
            <family val="2"/>
          </rPr>
          <t>111130: 34,000-22,000-*-*</t>
        </r>
      </text>
    </comment>
  </commentList>
</comments>
</file>

<file path=xl/sharedStrings.xml><?xml version="1.0" encoding="utf-8"?>
<sst xmlns="http://schemas.openxmlformats.org/spreadsheetml/2006/main" count="535" uniqueCount="299">
  <si>
    <r>
      <t>입력</t>
    </r>
    <r>
      <rPr>
        <sz val="12"/>
        <color indexed="48"/>
        <rFont val="Arial Rounded MT Bold"/>
        <family val="2"/>
      </rPr>
      <t xml:space="preserve">   </t>
    </r>
    <r>
      <rPr>
        <sz val="12"/>
        <color indexed="10"/>
        <rFont val="휴먼견출새내기체"/>
        <family val="1"/>
        <charset val="129"/>
      </rPr>
      <t>필요</t>
    </r>
    <r>
      <rPr>
        <sz val="12"/>
        <color indexed="10"/>
        <rFont val="Arial Rounded MT Bold"/>
        <family val="2"/>
      </rPr>
      <t xml:space="preserve"> </t>
    </r>
    <r>
      <rPr>
        <sz val="12"/>
        <color indexed="10"/>
        <rFont val="휴먼견출새내기체"/>
        <family val="1"/>
        <charset val="129"/>
      </rPr>
      <t>시</t>
    </r>
    <r>
      <rPr>
        <sz val="12"/>
        <color indexed="10"/>
        <rFont val="Arial Rounded MT Bold"/>
        <family val="2"/>
      </rPr>
      <t xml:space="preserve"> </t>
    </r>
    <r>
      <rPr>
        <sz val="12"/>
        <color indexed="10"/>
        <rFont val="휴먼견출새내기체"/>
        <family val="1"/>
        <charset val="129"/>
      </rPr>
      <t>조정</t>
    </r>
    <r>
      <rPr>
        <sz val="12"/>
        <color indexed="48"/>
        <rFont val="Arial Rounded MT Bold"/>
        <family val="2"/>
      </rPr>
      <t xml:space="preserve">   </t>
    </r>
    <r>
      <rPr>
        <sz val="12"/>
        <rFont val="휴먼견출새내기체"/>
        <family val="1"/>
        <charset val="129"/>
      </rPr>
      <t>자동산출</t>
    </r>
    <r>
      <rPr>
        <sz val="12"/>
        <rFont val="Arial Rounded MT Bold"/>
        <family val="2"/>
      </rPr>
      <t xml:space="preserve">   </t>
    </r>
    <r>
      <rPr>
        <sz val="12"/>
        <color indexed="23"/>
        <rFont val="휴먼견출새내기체"/>
        <family val="1"/>
        <charset val="129"/>
      </rPr>
      <t>고정</t>
    </r>
    <phoneticPr fontId="2" type="noConversion"/>
  </si>
  <si>
    <r>
      <t xml:space="preserve"> </t>
    </r>
    <r>
      <rPr>
        <sz val="12"/>
        <rFont val="휴먼견출새내기체"/>
        <family val="1"/>
        <charset val="129"/>
      </rPr>
      <t>냉각</t>
    </r>
    <r>
      <rPr>
        <sz val="12"/>
        <rFont val="Arial Rounded MT Bold"/>
        <family val="2"/>
      </rPr>
      <t xml:space="preserve"> </t>
    </r>
    <r>
      <rPr>
        <sz val="12"/>
        <rFont val="휴먼견출새내기체"/>
        <family val="1"/>
        <charset val="129"/>
      </rPr>
      <t>용량</t>
    </r>
    <phoneticPr fontId="2" type="noConversion"/>
  </si>
  <si>
    <t>RT</t>
    <phoneticPr fontId="2" type="noConversion"/>
  </si>
  <si>
    <t>항목</t>
    <phoneticPr fontId="2" type="noConversion"/>
  </si>
  <si>
    <t>보충수</t>
    <phoneticPr fontId="2" type="noConversion"/>
  </si>
  <si>
    <t>순환수</t>
    <phoneticPr fontId="2" type="noConversion"/>
  </si>
  <si>
    <t>Cycled</t>
    <phoneticPr fontId="2" type="noConversion"/>
  </si>
  <si>
    <t>Limit</t>
    <phoneticPr fontId="2" type="noConversion"/>
  </si>
  <si>
    <r>
      <t xml:space="preserve"> </t>
    </r>
    <r>
      <rPr>
        <sz val="12"/>
        <rFont val="휴먼견출새내기체"/>
        <family val="1"/>
        <charset val="129"/>
      </rPr>
      <t>현재</t>
    </r>
    <r>
      <rPr>
        <sz val="12"/>
        <rFont val="Arial Rounded MT Bold"/>
        <family val="2"/>
      </rPr>
      <t xml:space="preserve"> </t>
    </r>
    <r>
      <rPr>
        <sz val="12"/>
        <rFont val="휴먼견출새내기체"/>
        <family val="1"/>
        <charset val="129"/>
      </rPr>
      <t>농축배수</t>
    </r>
    <phoneticPr fontId="2" type="noConversion"/>
  </si>
  <si>
    <r>
      <t xml:space="preserve"> </t>
    </r>
    <r>
      <rPr>
        <sz val="12"/>
        <rFont val="휴먼견출새내기체"/>
        <family val="1"/>
        <charset val="129"/>
      </rPr>
      <t>집수조</t>
    </r>
    <phoneticPr fontId="2" type="noConversion"/>
  </si>
  <si>
    <r>
      <t>m</t>
    </r>
    <r>
      <rPr>
        <vertAlign val="superscript"/>
        <sz val="12"/>
        <rFont val="Arial Rounded MT Bold"/>
        <family val="2"/>
      </rPr>
      <t>3</t>
    </r>
    <phoneticPr fontId="2" type="noConversion"/>
  </si>
  <si>
    <t>전도도</t>
    <phoneticPr fontId="2" type="noConversion"/>
  </si>
  <si>
    <r>
      <t xml:space="preserve"> </t>
    </r>
    <r>
      <rPr>
        <sz val="12"/>
        <rFont val="휴먼견출새내기체"/>
        <family val="1"/>
        <charset val="129"/>
      </rPr>
      <t>현재</t>
    </r>
    <r>
      <rPr>
        <sz val="12"/>
        <rFont val="Arial Rounded MT Bold"/>
        <family val="2"/>
      </rPr>
      <t xml:space="preserve"> </t>
    </r>
    <r>
      <rPr>
        <sz val="12"/>
        <rFont val="휴먼견출새내기체"/>
        <family val="1"/>
        <charset val="129"/>
      </rPr>
      <t>블로우량</t>
    </r>
    <phoneticPr fontId="2" type="noConversion"/>
  </si>
  <si>
    <r>
      <t>m</t>
    </r>
    <r>
      <rPr>
        <vertAlign val="superscript"/>
        <sz val="12"/>
        <rFont val="Arial Rounded MT Bold"/>
        <family val="2"/>
      </rPr>
      <t>3</t>
    </r>
    <r>
      <rPr>
        <sz val="12"/>
        <rFont val="Arial Rounded MT Bold"/>
        <family val="2"/>
      </rPr>
      <t>/Hr</t>
    </r>
    <phoneticPr fontId="2" type="noConversion"/>
  </si>
  <si>
    <r>
      <t xml:space="preserve"> </t>
    </r>
    <r>
      <rPr>
        <sz val="12"/>
        <rFont val="휴먼견출새내기체"/>
        <family val="1"/>
        <charset val="129"/>
      </rPr>
      <t>보유수량</t>
    </r>
    <phoneticPr fontId="2" type="noConversion"/>
  </si>
  <si>
    <t>총경도</t>
    <phoneticPr fontId="2" type="noConversion"/>
  </si>
  <si>
    <r>
      <t xml:space="preserve"> </t>
    </r>
    <r>
      <rPr>
        <sz val="12"/>
        <rFont val="휴먼견출새내기체"/>
        <family val="1"/>
        <charset val="129"/>
      </rPr>
      <t>목표</t>
    </r>
    <r>
      <rPr>
        <sz val="12"/>
        <rFont val="Arial Rounded MT Bold"/>
        <family val="2"/>
      </rPr>
      <t xml:space="preserve"> </t>
    </r>
    <r>
      <rPr>
        <sz val="12"/>
        <rFont val="휴먼견출새내기체"/>
        <family val="1"/>
        <charset val="129"/>
      </rPr>
      <t>농축배수</t>
    </r>
    <phoneticPr fontId="2" type="noConversion"/>
  </si>
  <si>
    <r>
      <t xml:space="preserve"> </t>
    </r>
    <r>
      <rPr>
        <sz val="12"/>
        <rFont val="휴먼견출새내기체"/>
        <family val="1"/>
        <charset val="129"/>
      </rPr>
      <t>순환수량</t>
    </r>
    <phoneticPr fontId="2" type="noConversion"/>
  </si>
  <si>
    <t>전알칼리</t>
    <phoneticPr fontId="2" type="noConversion"/>
  </si>
  <si>
    <r>
      <t xml:space="preserve"> </t>
    </r>
    <r>
      <rPr>
        <sz val="12"/>
        <rFont val="휴먼견출새내기체"/>
        <family val="1"/>
        <charset val="129"/>
      </rPr>
      <t>목표</t>
    </r>
    <r>
      <rPr>
        <sz val="12"/>
        <rFont val="Arial Rounded MT Bold"/>
        <family val="2"/>
      </rPr>
      <t xml:space="preserve"> </t>
    </r>
    <r>
      <rPr>
        <sz val="12"/>
        <rFont val="휴먼견출새내기체"/>
        <family val="1"/>
        <charset val="129"/>
      </rPr>
      <t>블로우량</t>
    </r>
    <phoneticPr fontId="2" type="noConversion"/>
  </si>
  <si>
    <r>
      <t xml:space="preserve"> </t>
    </r>
    <r>
      <rPr>
        <sz val="12"/>
        <rFont val="휴먼견출새내기체"/>
        <family val="1"/>
        <charset val="129"/>
      </rPr>
      <t>타워</t>
    </r>
    <r>
      <rPr>
        <sz val="12"/>
        <rFont val="Arial Rounded MT Bold"/>
        <family val="2"/>
      </rPr>
      <t xml:space="preserve"> delta-T</t>
    </r>
    <phoneticPr fontId="2" type="noConversion"/>
  </si>
  <si>
    <r>
      <t>o</t>
    </r>
    <r>
      <rPr>
        <sz val="12"/>
        <rFont val="Arial Rounded MT Bold"/>
        <family val="2"/>
      </rPr>
      <t>C</t>
    </r>
    <phoneticPr fontId="2" type="noConversion"/>
  </si>
  <si>
    <t xml:space="preserve"> pH</t>
    <phoneticPr fontId="2" type="noConversion"/>
  </si>
  <si>
    <r>
      <t xml:space="preserve"> </t>
    </r>
    <r>
      <rPr>
        <sz val="12"/>
        <rFont val="휴먼견출새내기체"/>
        <family val="1"/>
        <charset val="129"/>
      </rPr>
      <t>증발량</t>
    </r>
    <phoneticPr fontId="2" type="noConversion"/>
  </si>
  <si>
    <t>표면온도</t>
    <phoneticPr fontId="2" type="noConversion"/>
  </si>
  <si>
    <r>
      <t>가동</t>
    </r>
    <r>
      <rPr>
        <sz val="12"/>
        <rFont val="Arial Rounded MT Bold"/>
        <family val="2"/>
      </rPr>
      <t xml:space="preserve"> </t>
    </r>
    <r>
      <rPr>
        <sz val="12"/>
        <rFont val="휴먼견출새내기체"/>
        <family val="1"/>
        <charset val="129"/>
      </rPr>
      <t>스케쥴</t>
    </r>
    <phoneticPr fontId="2" type="noConversion"/>
  </si>
  <si>
    <t>L.S.I</t>
    <phoneticPr fontId="2" type="noConversion"/>
  </si>
  <si>
    <t>&lt; 2.5</t>
    <phoneticPr fontId="2" type="noConversion"/>
  </si>
  <si>
    <r>
      <t>시간</t>
    </r>
    <r>
      <rPr>
        <sz val="12"/>
        <rFont val="Arial Rounded MT Bold"/>
        <family val="2"/>
      </rPr>
      <t>/</t>
    </r>
    <r>
      <rPr>
        <sz val="12"/>
        <rFont val="휴먼견출새내기체"/>
        <family val="1"/>
        <charset val="129"/>
      </rPr>
      <t>일</t>
    </r>
    <phoneticPr fontId="2" type="noConversion"/>
  </si>
  <si>
    <r>
      <t xml:space="preserve"> </t>
    </r>
    <r>
      <rPr>
        <sz val="12"/>
        <rFont val="휴먼견출새내기체"/>
        <family val="1"/>
        <charset val="129"/>
      </rPr>
      <t>보충수량</t>
    </r>
    <phoneticPr fontId="2" type="noConversion"/>
  </si>
  <si>
    <t>염화물</t>
    <phoneticPr fontId="2" type="noConversion"/>
  </si>
  <si>
    <r>
      <t>일</t>
    </r>
    <r>
      <rPr>
        <sz val="12"/>
        <rFont val="Arial Rounded MT Bold"/>
        <family val="2"/>
      </rPr>
      <t>/</t>
    </r>
    <r>
      <rPr>
        <sz val="12"/>
        <rFont val="휴먼견출새내기체"/>
        <family val="1"/>
        <charset val="129"/>
      </rPr>
      <t>월</t>
    </r>
    <phoneticPr fontId="2" type="noConversion"/>
  </si>
  <si>
    <r>
      <t xml:space="preserve"> </t>
    </r>
    <r>
      <rPr>
        <sz val="12"/>
        <rFont val="휴먼견출새내기체"/>
        <family val="1"/>
        <charset val="129"/>
      </rPr>
      <t>반감기</t>
    </r>
    <phoneticPr fontId="2" type="noConversion"/>
  </si>
  <si>
    <t>Days</t>
    <phoneticPr fontId="2" type="noConversion"/>
  </si>
  <si>
    <t>실리카</t>
    <phoneticPr fontId="2" type="noConversion"/>
  </si>
  <si>
    <t>&lt; 150</t>
    <phoneticPr fontId="2" type="noConversion"/>
  </si>
  <si>
    <r>
      <t>월</t>
    </r>
    <r>
      <rPr>
        <sz val="12"/>
        <rFont val="Arial Rounded MT Bold"/>
        <family val="2"/>
      </rPr>
      <t>/</t>
    </r>
    <r>
      <rPr>
        <sz val="12"/>
        <rFont val="휴먼견출새내기체"/>
        <family val="1"/>
        <charset val="129"/>
      </rPr>
      <t>년</t>
    </r>
    <phoneticPr fontId="2" type="noConversion"/>
  </si>
  <si>
    <t xml:space="preserve"> Inhibitor</t>
    <phoneticPr fontId="2" type="noConversion"/>
  </si>
  <si>
    <t>L/Hr</t>
    <phoneticPr fontId="2" type="noConversion"/>
  </si>
  <si>
    <t>L/day</t>
    <phoneticPr fontId="2" type="noConversion"/>
  </si>
  <si>
    <t>L/month</t>
    <phoneticPr fontId="2" type="noConversion"/>
  </si>
  <si>
    <t>L/year</t>
    <phoneticPr fontId="2" type="noConversion"/>
  </si>
  <si>
    <t>Won/L</t>
    <phoneticPr fontId="2" type="noConversion"/>
  </si>
  <si>
    <t>Won/year</t>
    <phoneticPr fontId="2" type="noConversion"/>
  </si>
  <si>
    <t>Remarks</t>
    <phoneticPr fontId="2" type="noConversion"/>
  </si>
  <si>
    <t xml:space="preserve"> CA-9000</t>
    <phoneticPr fontId="2" type="noConversion"/>
  </si>
  <si>
    <t xml:space="preserve"> CA-92 (Inhibitor)</t>
    <phoneticPr fontId="2" type="noConversion"/>
  </si>
  <si>
    <t xml:space="preserve"> CA-92 (Descaler)</t>
    <phoneticPr fontId="2" type="noConversion"/>
  </si>
  <si>
    <t xml:space="preserve"> CA-3 (Descaler)</t>
    <phoneticPr fontId="2" type="noConversion"/>
  </si>
  <si>
    <t xml:space="preserve"> Biocide</t>
    <phoneticPr fontId="2" type="noConversion"/>
  </si>
  <si>
    <t>L/week</t>
    <phoneticPr fontId="2" type="noConversion"/>
  </si>
  <si>
    <t>min.</t>
    <phoneticPr fontId="2" type="noConversion"/>
  </si>
  <si>
    <t xml:space="preserve"> MB-215</t>
    <phoneticPr fontId="2" type="noConversion"/>
  </si>
  <si>
    <t xml:space="preserve"> ActiChlor</t>
    <phoneticPr fontId="2" type="noConversion"/>
  </si>
  <si>
    <t xml:space="preserve"> AquaBrom</t>
    <phoneticPr fontId="2" type="noConversion"/>
  </si>
  <si>
    <t xml:space="preserve"> Chill Water Loop</t>
    <phoneticPr fontId="2" type="noConversion"/>
  </si>
  <si>
    <t>Inhibitor</t>
    <phoneticPr fontId="2" type="noConversion"/>
  </si>
  <si>
    <t xml:space="preserve"> CA-777</t>
    <phoneticPr fontId="2" type="noConversion"/>
  </si>
  <si>
    <t xml:space="preserve"> CA-999</t>
    <phoneticPr fontId="2" type="noConversion"/>
  </si>
  <si>
    <t xml:space="preserve"> CA-888</t>
    <phoneticPr fontId="2" type="noConversion"/>
  </si>
  <si>
    <t>Biocide</t>
    <phoneticPr fontId="2" type="noConversion"/>
  </si>
  <si>
    <t>kg/month</t>
    <phoneticPr fontId="2" type="noConversion"/>
  </si>
  <si>
    <t>Won/EA</t>
    <phoneticPr fontId="2" type="noConversion"/>
  </si>
  <si>
    <t xml:space="preserve"> 2.27 kg/EA</t>
    <phoneticPr fontId="2" type="noConversion"/>
  </si>
  <si>
    <t xml:space="preserve"> HandiFeed</t>
    <phoneticPr fontId="2" type="noConversion"/>
  </si>
  <si>
    <t>EA</t>
    <phoneticPr fontId="2" type="noConversion"/>
  </si>
  <si>
    <t>Iwaki</t>
    <phoneticPr fontId="2" type="noConversion"/>
  </si>
  <si>
    <t xml:space="preserve"> TowerChlor 56</t>
    <phoneticPr fontId="2" type="noConversion"/>
  </si>
  <si>
    <t xml:space="preserve"> EnviroBrom</t>
    <phoneticPr fontId="2" type="noConversion"/>
  </si>
  <si>
    <t xml:space="preserve"> Solid Inhibitor</t>
    <phoneticPr fontId="2" type="noConversion"/>
  </si>
  <si>
    <t xml:space="preserve"> Solid Biocide</t>
    <phoneticPr fontId="2" type="noConversion"/>
  </si>
  <si>
    <t>kg/year</t>
    <phoneticPr fontId="2" type="noConversion"/>
  </si>
  <si>
    <t xml:space="preserve"> ChemChlor</t>
    <phoneticPr fontId="2" type="noConversion"/>
  </si>
  <si>
    <t xml:space="preserve"> MB-335K</t>
    <phoneticPr fontId="2" type="noConversion"/>
  </si>
  <si>
    <t xml:space="preserve"> CA-31675</t>
    <phoneticPr fontId="2" type="noConversion"/>
  </si>
  <si>
    <t xml:space="preserve"> CA-2</t>
    <phoneticPr fontId="2" type="noConversion"/>
  </si>
  <si>
    <t xml:space="preserve"> CA-1</t>
    <phoneticPr fontId="2" type="noConversion"/>
  </si>
  <si>
    <t>Won/kg</t>
    <phoneticPr fontId="2" type="noConversion"/>
  </si>
  <si>
    <r>
      <t xml:space="preserve"> </t>
    </r>
    <r>
      <rPr>
        <sz val="12"/>
        <rFont val="휴먼견출새내기체"/>
        <family val="1"/>
        <charset val="129"/>
      </rPr>
      <t>비산량</t>
    </r>
    <phoneticPr fontId="2" type="noConversion"/>
  </si>
  <si>
    <t>초기투입</t>
    <phoneticPr fontId="2" type="noConversion"/>
  </si>
  <si>
    <t xml:space="preserve"> MB-220</t>
    <phoneticPr fontId="2" type="noConversion"/>
  </si>
  <si>
    <t xml:space="preserve"> MB-1563</t>
    <phoneticPr fontId="2" type="noConversion"/>
  </si>
  <si>
    <t>kg/week</t>
    <phoneticPr fontId="2" type="noConversion"/>
  </si>
  <si>
    <t>kg/Year</t>
    <phoneticPr fontId="2" type="noConversion"/>
  </si>
  <si>
    <r>
      <t xml:space="preserve"> 1~4</t>
    </r>
    <r>
      <rPr>
        <sz val="10"/>
        <color theme="0" tint="-0.249977111117893"/>
        <rFont val="휴먼견출새내기체"/>
        <family val="1"/>
        <charset val="129"/>
      </rPr>
      <t>주</t>
    </r>
    <r>
      <rPr>
        <sz val="10"/>
        <color theme="0" tint="-0.249977111117893"/>
        <rFont val="Arial Rounded MT Bold"/>
        <family val="2"/>
      </rPr>
      <t xml:space="preserve"> </t>
    </r>
    <r>
      <rPr>
        <sz val="10"/>
        <color theme="0" tint="-0.249977111117893"/>
        <rFont val="휴먼견출새내기체"/>
        <family val="1"/>
        <charset val="129"/>
      </rPr>
      <t>당</t>
    </r>
    <r>
      <rPr>
        <sz val="10"/>
        <color theme="0" tint="-0.249977111117893"/>
        <rFont val="Arial Rounded MT Bold"/>
        <family val="2"/>
      </rPr>
      <t xml:space="preserve"> 1</t>
    </r>
    <r>
      <rPr>
        <sz val="10"/>
        <color theme="0" tint="-0.249977111117893"/>
        <rFont val="휴먼견출새내기체"/>
        <family val="1"/>
        <charset val="129"/>
      </rPr>
      <t>회</t>
    </r>
    <phoneticPr fontId="2" type="noConversion"/>
  </si>
  <si>
    <t xml:space="preserve"> Bio-dispersant</t>
    <phoneticPr fontId="2" type="noConversion"/>
  </si>
  <si>
    <t xml:space="preserve"> AquaSperse</t>
    <phoneticPr fontId="2" type="noConversion"/>
  </si>
  <si>
    <t>투입주기(일)</t>
    <phoneticPr fontId="2" type="noConversion"/>
  </si>
  <si>
    <t>1회투입량</t>
    <phoneticPr fontId="2" type="noConversion"/>
  </si>
  <si>
    <t xml:space="preserve"> 5 kg/pail</t>
    <phoneticPr fontId="2" type="noConversion"/>
  </si>
  <si>
    <t>연소요량</t>
    <phoneticPr fontId="2" type="noConversion"/>
  </si>
  <si>
    <r>
      <rPr>
        <sz val="12"/>
        <rFont val="휴먼견출새내기체"/>
        <family val="1"/>
        <charset val="129"/>
      </rPr>
      <t>원</t>
    </r>
    <r>
      <rPr>
        <sz val="12"/>
        <rFont val="Arial Rounded MT Bold"/>
        <family val="2"/>
      </rPr>
      <t>/L or Kg</t>
    </r>
    <phoneticPr fontId="2" type="noConversion"/>
  </si>
  <si>
    <r>
      <rPr>
        <sz val="12"/>
        <rFont val="휴먼견출새내기체"/>
        <family val="1"/>
        <charset val="129"/>
      </rPr>
      <t>원</t>
    </r>
    <r>
      <rPr>
        <sz val="12"/>
        <rFont val="Arial Rounded MT Bold"/>
        <family val="2"/>
      </rPr>
      <t>/</t>
    </r>
    <r>
      <rPr>
        <sz val="12"/>
        <rFont val="휴먼견출새내기체"/>
        <family val="1"/>
        <charset val="129"/>
      </rPr>
      <t>년</t>
    </r>
    <phoneticPr fontId="2" type="noConversion"/>
  </si>
  <si>
    <t>원</t>
    <phoneticPr fontId="2" type="noConversion"/>
  </si>
  <si>
    <t xml:space="preserve"> pH &lt; 9.0</t>
    <phoneticPr fontId="2" type="noConversion"/>
  </si>
  <si>
    <t xml:space="preserve"> 2 Hrs, pH 6.5~11.0</t>
    <phoneticPr fontId="2" type="noConversion"/>
  </si>
  <si>
    <t xml:space="preserve"> 1/2 Hrs, pH 6.5~9.0</t>
    <phoneticPr fontId="2" type="noConversion"/>
  </si>
  <si>
    <r>
      <t xml:space="preserve"> </t>
    </r>
    <r>
      <rPr>
        <sz val="10"/>
        <color theme="0" tint="-0.249977111117893"/>
        <rFont val="휴먼견출새내기체"/>
        <family val="1"/>
        <charset val="129"/>
      </rPr>
      <t>단위</t>
    </r>
    <r>
      <rPr>
        <sz val="10"/>
        <color theme="0" tint="-0.249977111117893"/>
        <rFont val="Arial Rounded MT Bold"/>
        <family val="2"/>
      </rPr>
      <t>: Kg</t>
    </r>
    <phoneticPr fontId="2" type="noConversion"/>
  </si>
  <si>
    <t xml:space="preserve"> 100g x 25 (2.5 kg)/pail</t>
    <phoneticPr fontId="2" type="noConversion"/>
  </si>
  <si>
    <t>Initial (L)</t>
    <phoneticPr fontId="2" type="noConversion"/>
  </si>
  <si>
    <t>L/Hr</t>
    <phoneticPr fontId="2" type="noConversion"/>
  </si>
  <si>
    <t>L/day</t>
    <phoneticPr fontId="2" type="noConversion"/>
  </si>
  <si>
    <t>L/month</t>
    <phoneticPr fontId="2" type="noConversion"/>
  </si>
  <si>
    <t>L/year</t>
    <phoneticPr fontId="2" type="noConversion"/>
  </si>
  <si>
    <t>Won/L</t>
    <phoneticPr fontId="2" type="noConversion"/>
  </si>
  <si>
    <t>Remarks</t>
    <phoneticPr fontId="2" type="noConversion"/>
  </si>
  <si>
    <t>Iwaki</t>
    <phoneticPr fontId="2" type="noConversion"/>
  </si>
  <si>
    <r>
      <rPr>
        <sz val="12"/>
        <color theme="0" tint="-0.499984740745262"/>
        <rFont val="휴먼견출새내기체"/>
        <family val="1"/>
        <charset val="129"/>
      </rPr>
      <t>원</t>
    </r>
    <r>
      <rPr>
        <sz val="12"/>
        <color theme="0" tint="-0.499984740745262"/>
        <rFont val="Arial Rounded MT Bold"/>
        <family val="2"/>
      </rPr>
      <t>/</t>
    </r>
    <r>
      <rPr>
        <sz val="12"/>
        <color theme="0" tint="-0.499984740745262"/>
        <rFont val="휴먼견출새내기체"/>
        <family val="1"/>
        <charset val="129"/>
      </rPr>
      <t>년</t>
    </r>
    <phoneticPr fontId="2" type="noConversion"/>
  </si>
  <si>
    <r>
      <t xml:space="preserve"> </t>
    </r>
    <r>
      <rPr>
        <sz val="10"/>
        <color theme="0" tint="-0.249977111117893"/>
        <rFont val="휴먼견출새내기체"/>
        <family val="1"/>
        <charset val="129"/>
      </rPr>
      <t>소요량</t>
    </r>
    <r>
      <rPr>
        <sz val="10"/>
        <color theme="0" tint="-0.249977111117893"/>
        <rFont val="Arial Rounded MT Bold"/>
        <family val="2"/>
      </rPr>
      <t xml:space="preserve"> </t>
    </r>
    <r>
      <rPr>
        <sz val="10"/>
        <color theme="0" tint="-0.249977111117893"/>
        <rFont val="휴먼견출새내기체"/>
        <family val="1"/>
        <charset val="129"/>
      </rPr>
      <t>연</t>
    </r>
    <r>
      <rPr>
        <sz val="10"/>
        <color theme="0" tint="-0.249977111117893"/>
        <rFont val="Arial Rounded MT Bold"/>
        <family val="2"/>
      </rPr>
      <t>4</t>
    </r>
    <r>
      <rPr>
        <sz val="10"/>
        <color theme="0" tint="-0.249977111117893"/>
        <rFont val="휴먼견출새내기체"/>
        <family val="1"/>
        <charset val="129"/>
      </rPr>
      <t>회</t>
    </r>
    <r>
      <rPr>
        <sz val="10"/>
        <color theme="0" tint="-0.249977111117893"/>
        <rFont val="Arial Rounded MT Bold"/>
        <family val="2"/>
      </rPr>
      <t xml:space="preserve"> </t>
    </r>
    <r>
      <rPr>
        <sz val="10"/>
        <color theme="0" tint="-0.249977111117893"/>
        <rFont val="휴먼견출새내기체"/>
        <family val="1"/>
        <charset val="129"/>
      </rPr>
      <t>투입</t>
    </r>
    <r>
      <rPr>
        <sz val="10"/>
        <color theme="0" tint="-0.249977111117893"/>
        <rFont val="Arial Rounded MT Bold"/>
        <family val="2"/>
      </rPr>
      <t xml:space="preserve"> </t>
    </r>
    <r>
      <rPr>
        <sz val="10"/>
        <color theme="0" tint="-0.249977111117893"/>
        <rFont val="휴먼견출새내기체"/>
        <family val="1"/>
        <charset val="129"/>
      </rPr>
      <t>기준</t>
    </r>
    <phoneticPr fontId="2" type="noConversion"/>
  </si>
  <si>
    <t xml:space="preserve"> 5 kg/EA (Old: 100K 1.6 times)</t>
    <phoneticPr fontId="2" type="noConversion"/>
  </si>
  <si>
    <t>=(LOG(G5)-1)/10</t>
    <phoneticPr fontId="2" type="noConversion"/>
  </si>
  <si>
    <t>=LOG(G6)-0.4</t>
    <phoneticPr fontId="2" type="noConversion"/>
  </si>
  <si>
    <t>=LOG(G7)</t>
    <phoneticPr fontId="2" type="noConversion"/>
  </si>
  <si>
    <t>=-13.12*LOG(G9+273)+34.55</t>
    <phoneticPr fontId="2" type="noConversion"/>
  </si>
  <si>
    <t>=Q8-9.3-Q5-Q9+Q6+Q7</t>
    <phoneticPr fontId="2" type="noConversion"/>
  </si>
  <si>
    <r>
      <t xml:space="preserve"> 3</t>
    </r>
    <r>
      <rPr>
        <sz val="10"/>
        <color theme="0" tint="-0.249977111117893"/>
        <rFont val="휴먼견출새내기체"/>
        <family val="1"/>
        <charset val="129"/>
      </rPr>
      <t>개월</t>
    </r>
    <r>
      <rPr>
        <sz val="10"/>
        <color theme="0" tint="-0.249977111117893"/>
        <rFont val="Arial Rounded MT Bold"/>
        <family val="2"/>
      </rPr>
      <t xml:space="preserve"> </t>
    </r>
    <r>
      <rPr>
        <sz val="10"/>
        <color theme="0" tint="-0.249977111117893"/>
        <rFont val="휴먼견출새내기체"/>
        <family val="1"/>
        <charset val="129"/>
      </rPr>
      <t>소요량</t>
    </r>
    <phoneticPr fontId="2" type="noConversion"/>
  </si>
  <si>
    <t xml:space="preserve"> MB-215K</t>
    <phoneticPr fontId="2" type="noConversion"/>
  </si>
  <si>
    <t xml:space="preserve"> 1/2 Hrs, pH 6.5~9.0</t>
    <phoneticPr fontId="2" type="noConversion"/>
  </si>
  <si>
    <t xml:space="preserve"> 6 Hrs, pH 6.5~9.0</t>
    <phoneticPr fontId="2" type="noConversion"/>
  </si>
  <si>
    <t xml:space="preserve"> Supplemental</t>
    <phoneticPr fontId="2" type="noConversion"/>
  </si>
  <si>
    <r>
      <t xml:space="preserve"> </t>
    </r>
    <r>
      <rPr>
        <sz val="10"/>
        <color theme="0" tint="-0.249977111117893"/>
        <rFont val="휴먼견출새내기체"/>
        <family val="1"/>
        <charset val="129"/>
      </rPr>
      <t>에바콘</t>
    </r>
    <r>
      <rPr>
        <sz val="10"/>
        <color theme="0" tint="-0.249977111117893"/>
        <rFont val="Arial Rounded MT Bold"/>
        <family val="2"/>
      </rPr>
      <t>.</t>
    </r>
    <r>
      <rPr>
        <sz val="10"/>
        <color theme="0" tint="-0.249977111117893"/>
        <rFont val="휴먼견출새내기체"/>
        <family val="1"/>
        <charset val="129"/>
      </rPr>
      <t>밀폐회로냉각탑</t>
    </r>
    <phoneticPr fontId="2" type="noConversion"/>
  </si>
  <si>
    <t>Unit: Pail(227g x 40 = 9.1kg)</t>
    <phoneticPr fontId="2" type="noConversion"/>
  </si>
  <si>
    <r>
      <t xml:space="preserve"> HP-15MT</t>
    </r>
    <r>
      <rPr>
        <sz val="12"/>
        <color rgb="FF00B050"/>
        <rFont val="Arial Rounded MT Bold"/>
        <family val="2"/>
      </rPr>
      <t>(55)</t>
    </r>
    <r>
      <rPr>
        <sz val="12"/>
        <rFont val="Arial Rounded MT Bold"/>
        <family val="2"/>
      </rPr>
      <t xml:space="preserve"> or 22MT</t>
    </r>
    <r>
      <rPr>
        <sz val="12"/>
        <color rgb="FF00B050"/>
        <rFont val="Arial Rounded MT Bold"/>
        <family val="2"/>
      </rPr>
      <t>(25)</t>
    </r>
    <phoneticPr fontId="2" type="noConversion"/>
  </si>
  <si>
    <t xml:space="preserve"> 3 tablet/Ton to get 600ppm NaNO2</t>
    <phoneticPr fontId="2" type="noConversion"/>
  </si>
  <si>
    <t>구분</t>
    <phoneticPr fontId="2" type="noConversion"/>
  </si>
  <si>
    <t>제품</t>
    <phoneticPr fontId="2" type="noConversion"/>
  </si>
  <si>
    <t>보유수량</t>
    <phoneticPr fontId="2" type="noConversion"/>
  </si>
  <si>
    <t>Won</t>
    <phoneticPr fontId="2" type="noConversion"/>
  </si>
  <si>
    <t>단위</t>
    <phoneticPr fontId="2" type="noConversion"/>
  </si>
  <si>
    <t>단가</t>
    <phoneticPr fontId="2" type="noConversion"/>
  </si>
  <si>
    <t>Liter</t>
    <phoneticPr fontId="2" type="noConversion"/>
  </si>
  <si>
    <t>Pail</t>
    <phoneticPr fontId="2" type="noConversion"/>
  </si>
  <si>
    <t>소요량</t>
    <phoneticPr fontId="2" type="noConversion"/>
  </si>
  <si>
    <t xml:space="preserve"> BioBrom C100-G</t>
    <phoneticPr fontId="2" type="noConversion"/>
  </si>
  <si>
    <r>
      <t xml:space="preserve"> </t>
    </r>
    <r>
      <rPr>
        <sz val="10"/>
        <color theme="0" tint="-0.249977111117893"/>
        <rFont val="휴먼견출새내기체"/>
        <family val="1"/>
        <charset val="129"/>
      </rPr>
      <t>용해도</t>
    </r>
    <r>
      <rPr>
        <sz val="10"/>
        <color theme="0" tint="-0.249977111117893"/>
        <rFont val="Arial Rounded MT Bold"/>
        <family val="2"/>
      </rPr>
      <t>: 12% @25</t>
    </r>
    <r>
      <rPr>
        <vertAlign val="superscript"/>
        <sz val="10"/>
        <color theme="0" tint="-0.249977111117893"/>
        <rFont val="Arial Rounded MT Bold"/>
        <family val="2"/>
      </rPr>
      <t>o</t>
    </r>
    <r>
      <rPr>
        <sz val="10"/>
        <color theme="0" tint="-0.249977111117893"/>
        <rFont val="Arial Rounded MT Bold"/>
        <family val="2"/>
      </rPr>
      <t>C</t>
    </r>
    <phoneticPr fontId="2" type="noConversion"/>
  </si>
  <si>
    <t xml:space="preserve"> CA-55N (kg)</t>
    <phoneticPr fontId="2" type="noConversion"/>
  </si>
  <si>
    <t xml:space="preserve"> HF-50@540,000 HF-100@630,000</t>
    <phoneticPr fontId="2" type="noConversion"/>
  </si>
  <si>
    <t xml:space="preserve"> CA-C30</t>
    <phoneticPr fontId="2" type="noConversion"/>
  </si>
  <si>
    <r>
      <t xml:space="preserve"> </t>
    </r>
    <r>
      <rPr>
        <sz val="10"/>
        <color theme="0" tint="-0.249977111117893"/>
        <rFont val="휴먼견출새내기체"/>
        <family val="1"/>
        <charset val="129"/>
      </rPr>
      <t>냉온수기</t>
    </r>
    <r>
      <rPr>
        <sz val="10"/>
        <color theme="0" tint="-0.249977111117893"/>
        <rFont val="Arial Rounded MT Bold"/>
        <family val="2"/>
      </rPr>
      <t>: 1.3</t>
    </r>
    <r>
      <rPr>
        <sz val="10"/>
        <color theme="0" tint="-0.249977111117893"/>
        <rFont val="휴먼견출새내기체"/>
        <family val="1"/>
        <charset val="129"/>
      </rPr>
      <t>배</t>
    </r>
    <phoneticPr fontId="2" type="noConversion"/>
  </si>
  <si>
    <t xml:space="preserve"> Total Tower (1 L Pkg.)</t>
    <phoneticPr fontId="2" type="noConversion"/>
  </si>
  <si>
    <t>Kg</t>
    <phoneticPr fontId="2" type="noConversion"/>
  </si>
  <si>
    <t xml:space="preserve"> CA-58100</t>
    <phoneticPr fontId="2" type="noConversion"/>
  </si>
  <si>
    <t xml:space="preserve"> CA-42171</t>
    <phoneticPr fontId="2" type="noConversion"/>
  </si>
  <si>
    <t xml:space="preserve"> Biocide (Continuous)</t>
    <phoneticPr fontId="2" type="noConversion"/>
  </si>
  <si>
    <t>잔류염소</t>
    <phoneticPr fontId="2" type="noConversion"/>
  </si>
  <si>
    <t>L/Hr</t>
    <phoneticPr fontId="2" type="noConversion"/>
  </si>
  <si>
    <t>L/day</t>
    <phoneticPr fontId="2" type="noConversion"/>
  </si>
  <si>
    <t>L/month</t>
    <phoneticPr fontId="2" type="noConversion"/>
  </si>
  <si>
    <t>L/year</t>
    <phoneticPr fontId="2" type="noConversion"/>
  </si>
  <si>
    <t>Won/L</t>
    <phoneticPr fontId="2" type="noConversion"/>
  </si>
  <si>
    <t>Won/year</t>
    <phoneticPr fontId="2" type="noConversion"/>
  </si>
  <si>
    <t>Remarks</t>
    <phoneticPr fontId="2" type="noConversion"/>
  </si>
  <si>
    <t xml:space="preserve"> ActiChlor</t>
    <phoneticPr fontId="2" type="noConversion"/>
  </si>
  <si>
    <t>0.2~1.5</t>
    <phoneticPr fontId="2" type="noConversion"/>
  </si>
  <si>
    <t xml:space="preserve"> CA-58200</t>
    <phoneticPr fontId="2" type="noConversion"/>
  </si>
  <si>
    <t xml:space="preserve"> bioeXile-L</t>
    <phoneticPr fontId="2" type="noConversion"/>
  </si>
  <si>
    <t>91 g x 100  EA = 9.1 kg/pail</t>
    <phoneticPr fontId="2" type="noConversion"/>
  </si>
  <si>
    <t xml:space="preserve"> TowerTab (kg)</t>
    <phoneticPr fontId="2" type="noConversion"/>
  </si>
  <si>
    <t xml:space="preserve"> bioeXile (20 Liter)</t>
    <phoneticPr fontId="2" type="noConversion"/>
  </si>
  <si>
    <t xml:space="preserve"> bioeXile (1 Liter x 12)</t>
    <phoneticPr fontId="2" type="noConversion"/>
  </si>
  <si>
    <t xml:space="preserve"> CA-31855 or CA-8500MTP</t>
    <phoneticPr fontId="2" type="noConversion"/>
  </si>
  <si>
    <t xml:space="preserve"> CA-31155 or CA-15000MT</t>
    <phoneticPr fontId="2" type="noConversion"/>
  </si>
  <si>
    <r>
      <t>Timed Blow System</t>
    </r>
    <r>
      <rPr>
        <b/>
        <sz val="11"/>
        <color indexed="48"/>
        <rFont val="굴림"/>
        <family val="3"/>
        <charset val="129"/>
      </rPr>
      <t>을</t>
    </r>
    <r>
      <rPr>
        <b/>
        <sz val="11"/>
        <color indexed="48"/>
        <rFont val="Arial"/>
        <family val="2"/>
      </rPr>
      <t xml:space="preserve"> </t>
    </r>
    <r>
      <rPr>
        <b/>
        <sz val="11"/>
        <color indexed="48"/>
        <rFont val="굴림"/>
        <family val="3"/>
        <charset val="129"/>
      </rPr>
      <t>포함해도</t>
    </r>
    <r>
      <rPr>
        <b/>
        <sz val="11"/>
        <color indexed="48"/>
        <rFont val="Arial"/>
        <family val="2"/>
      </rPr>
      <t xml:space="preserve"> Liquid Program </t>
    </r>
    <r>
      <rPr>
        <b/>
        <sz val="11"/>
        <color indexed="48"/>
        <rFont val="굴림"/>
        <family val="3"/>
        <charset val="129"/>
      </rPr>
      <t>가격의</t>
    </r>
    <r>
      <rPr>
        <b/>
        <sz val="11"/>
        <color indexed="48"/>
        <rFont val="Arial"/>
        <family val="2"/>
      </rPr>
      <t xml:space="preserve"> 90% </t>
    </r>
    <r>
      <rPr>
        <b/>
        <sz val="11"/>
        <color indexed="48"/>
        <rFont val="굴림"/>
        <family val="3"/>
        <charset val="129"/>
      </rPr>
      <t>수준</t>
    </r>
    <phoneticPr fontId="2" type="noConversion"/>
  </si>
  <si>
    <t xml:space="preserve"> 1 Pail = 5 kgs = 25 Tablets @82,000 Won</t>
    <phoneticPr fontId="2" type="noConversion"/>
  </si>
  <si>
    <r>
      <t xml:space="preserve">CB-9099: </t>
    </r>
    <r>
      <rPr>
        <b/>
        <sz val="11"/>
        <color indexed="10"/>
        <rFont val="굴림"/>
        <family val="3"/>
        <charset val="129"/>
      </rPr>
      <t>기본</t>
    </r>
    <r>
      <rPr>
        <b/>
        <sz val="11"/>
        <color indexed="10"/>
        <rFont val="Arial"/>
        <family val="2"/>
      </rPr>
      <t xml:space="preserve"> </t>
    </r>
    <r>
      <rPr>
        <b/>
        <sz val="11"/>
        <color indexed="10"/>
        <rFont val="굴림"/>
        <family val="3"/>
        <charset val="129"/>
      </rPr>
      <t>판매</t>
    </r>
    <r>
      <rPr>
        <b/>
        <sz val="11"/>
        <color indexed="10"/>
        <rFont val="Arial"/>
        <family val="2"/>
      </rPr>
      <t xml:space="preserve"> </t>
    </r>
    <r>
      <rPr>
        <b/>
        <sz val="11"/>
        <color indexed="10"/>
        <rFont val="굴림"/>
        <family val="3"/>
        <charset val="129"/>
      </rPr>
      <t>단위는</t>
    </r>
    <r>
      <rPr>
        <b/>
        <sz val="11"/>
        <color indexed="10"/>
        <rFont val="Arial"/>
        <family val="2"/>
      </rPr>
      <t xml:space="preserve"> </t>
    </r>
    <r>
      <rPr>
        <b/>
        <sz val="11"/>
        <color indexed="10"/>
        <rFont val="굴림"/>
        <family val="3"/>
        <charset val="129"/>
      </rPr>
      <t>페일이며</t>
    </r>
    <r>
      <rPr>
        <b/>
        <sz val="11"/>
        <color indexed="10"/>
        <rFont val="Arial"/>
        <family val="2"/>
      </rPr>
      <t xml:space="preserve">, 1/2 </t>
    </r>
    <r>
      <rPr>
        <b/>
        <sz val="11"/>
        <color indexed="10"/>
        <rFont val="굴림"/>
        <family val="3"/>
        <charset val="129"/>
      </rPr>
      <t>페일로</t>
    </r>
    <r>
      <rPr>
        <b/>
        <sz val="11"/>
        <color indexed="10"/>
        <rFont val="Arial"/>
        <family val="2"/>
      </rPr>
      <t xml:space="preserve"> </t>
    </r>
    <r>
      <rPr>
        <b/>
        <sz val="11"/>
        <color indexed="10"/>
        <rFont val="굴림"/>
        <family val="3"/>
        <charset val="129"/>
      </rPr>
      <t>판매할</t>
    </r>
    <r>
      <rPr>
        <b/>
        <sz val="11"/>
        <color indexed="10"/>
        <rFont val="Arial"/>
        <family val="2"/>
      </rPr>
      <t xml:space="preserve"> </t>
    </r>
    <r>
      <rPr>
        <b/>
        <sz val="11"/>
        <color indexed="10"/>
        <rFont val="굴림"/>
        <family val="3"/>
        <charset val="129"/>
      </rPr>
      <t>수</t>
    </r>
    <r>
      <rPr>
        <b/>
        <sz val="11"/>
        <color indexed="10"/>
        <rFont val="Arial"/>
        <family val="2"/>
      </rPr>
      <t xml:space="preserve"> </t>
    </r>
    <r>
      <rPr>
        <b/>
        <sz val="11"/>
        <color indexed="10"/>
        <rFont val="굴림"/>
        <family val="3"/>
        <charset val="129"/>
      </rPr>
      <t>없음</t>
    </r>
    <r>
      <rPr>
        <b/>
        <sz val="11"/>
        <color indexed="10"/>
        <rFont val="Arial"/>
        <family val="2"/>
      </rPr>
      <t xml:space="preserve">. </t>
    </r>
    <r>
      <rPr>
        <b/>
        <sz val="11"/>
        <color indexed="10"/>
        <rFont val="굴림"/>
        <family val="3"/>
        <charset val="129"/>
      </rPr>
      <t>표</t>
    </r>
    <r>
      <rPr>
        <b/>
        <sz val="11"/>
        <color indexed="10"/>
        <rFont val="Arial"/>
        <family val="2"/>
      </rPr>
      <t xml:space="preserve"> </t>
    </r>
    <r>
      <rPr>
        <b/>
        <sz val="11"/>
        <color indexed="10"/>
        <rFont val="굴림"/>
        <family val="3"/>
        <charset val="129"/>
      </rPr>
      <t>맨</t>
    </r>
    <r>
      <rPr>
        <b/>
        <sz val="11"/>
        <color indexed="10"/>
        <rFont val="Arial"/>
        <family val="2"/>
      </rPr>
      <t xml:space="preserve"> </t>
    </r>
    <r>
      <rPr>
        <b/>
        <sz val="11"/>
        <color indexed="10"/>
        <rFont val="굴림"/>
        <family val="3"/>
        <charset val="129"/>
      </rPr>
      <t>우측의</t>
    </r>
    <r>
      <rPr>
        <b/>
        <sz val="11"/>
        <color indexed="10"/>
        <rFont val="Arial"/>
        <family val="2"/>
      </rPr>
      <t xml:space="preserve"> </t>
    </r>
    <r>
      <rPr>
        <b/>
        <sz val="11"/>
        <color indexed="10"/>
        <rFont val="굴림"/>
        <family val="3"/>
        <charset val="129"/>
      </rPr>
      <t>단가를</t>
    </r>
    <r>
      <rPr>
        <b/>
        <sz val="11"/>
        <color indexed="10"/>
        <rFont val="Arial"/>
        <family val="2"/>
      </rPr>
      <t xml:space="preserve"> </t>
    </r>
    <r>
      <rPr>
        <b/>
        <sz val="11"/>
        <color indexed="10"/>
        <rFont val="굴림"/>
        <family val="3"/>
        <charset val="129"/>
      </rPr>
      <t>참조할</t>
    </r>
    <r>
      <rPr>
        <b/>
        <sz val="11"/>
        <color indexed="10"/>
        <rFont val="Arial"/>
        <family val="2"/>
      </rPr>
      <t xml:space="preserve"> </t>
    </r>
    <r>
      <rPr>
        <b/>
        <sz val="11"/>
        <color indexed="10"/>
        <rFont val="굴림"/>
        <family val="3"/>
        <charset val="129"/>
      </rPr>
      <t>것</t>
    </r>
    <r>
      <rPr>
        <b/>
        <sz val="11"/>
        <color indexed="10"/>
        <rFont val="Arial"/>
        <family val="2"/>
      </rPr>
      <t>.</t>
    </r>
    <phoneticPr fontId="2" type="noConversion"/>
  </si>
  <si>
    <r>
      <t xml:space="preserve">CB-9099 is to be sold by Pail pase at the unit price in the far roght column. It is </t>
    </r>
    <r>
      <rPr>
        <b/>
        <sz val="11"/>
        <rFont val="Arial"/>
        <family val="2"/>
      </rPr>
      <t>not to be</t>
    </r>
    <r>
      <rPr>
        <sz val="11"/>
        <rFont val="Arial"/>
        <family val="2"/>
      </rPr>
      <t xml:space="preserve"> sold by 1/2 Pail.</t>
    </r>
    <phoneticPr fontId="2" type="noConversion"/>
  </si>
  <si>
    <t xml:space="preserve"> 1 Pail = 2.7 kgs = 16 Tablets @820,000 Won      1/2 Pail = 1.35 kgs = 8 Tablets @410,000 Won</t>
    <phoneticPr fontId="2" type="noConversion"/>
  </si>
  <si>
    <r>
      <t xml:space="preserve">TowerTab: </t>
    </r>
    <r>
      <rPr>
        <b/>
        <sz val="11"/>
        <color indexed="10"/>
        <rFont val="굴림"/>
        <family val="3"/>
        <charset val="129"/>
      </rPr>
      <t>기본</t>
    </r>
    <r>
      <rPr>
        <b/>
        <sz val="11"/>
        <color indexed="10"/>
        <rFont val="Arial"/>
        <family val="2"/>
      </rPr>
      <t xml:space="preserve"> </t>
    </r>
    <r>
      <rPr>
        <b/>
        <sz val="11"/>
        <color indexed="10"/>
        <rFont val="굴림"/>
        <family val="3"/>
        <charset val="129"/>
      </rPr>
      <t>판매</t>
    </r>
    <r>
      <rPr>
        <b/>
        <sz val="11"/>
        <color indexed="10"/>
        <rFont val="Arial"/>
        <family val="2"/>
      </rPr>
      <t xml:space="preserve"> </t>
    </r>
    <r>
      <rPr>
        <b/>
        <sz val="11"/>
        <color indexed="10"/>
        <rFont val="굴림"/>
        <family val="3"/>
        <charset val="129"/>
      </rPr>
      <t>단위는</t>
    </r>
    <r>
      <rPr>
        <b/>
        <sz val="11"/>
        <color indexed="10"/>
        <rFont val="Arial"/>
        <family val="2"/>
      </rPr>
      <t xml:space="preserve"> </t>
    </r>
    <r>
      <rPr>
        <b/>
        <sz val="11"/>
        <color indexed="10"/>
        <rFont val="굴림"/>
        <family val="3"/>
        <charset val="129"/>
      </rPr>
      <t>페일이며</t>
    </r>
    <r>
      <rPr>
        <b/>
        <sz val="11"/>
        <color indexed="10"/>
        <rFont val="Arial"/>
        <family val="2"/>
      </rPr>
      <t xml:space="preserve">, 1/2 </t>
    </r>
    <r>
      <rPr>
        <b/>
        <sz val="11"/>
        <color indexed="10"/>
        <rFont val="굴림"/>
        <family val="3"/>
        <charset val="129"/>
      </rPr>
      <t>페일</t>
    </r>
    <r>
      <rPr>
        <b/>
        <sz val="11"/>
        <color indexed="10"/>
        <rFont val="Arial"/>
        <family val="2"/>
      </rPr>
      <t xml:space="preserve"> </t>
    </r>
    <r>
      <rPr>
        <b/>
        <sz val="11"/>
        <color indexed="10"/>
        <rFont val="굴림"/>
        <family val="3"/>
        <charset val="129"/>
      </rPr>
      <t>단위로</t>
    </r>
    <r>
      <rPr>
        <b/>
        <sz val="11"/>
        <color indexed="10"/>
        <rFont val="Arial"/>
        <family val="2"/>
      </rPr>
      <t xml:space="preserve"> </t>
    </r>
    <r>
      <rPr>
        <b/>
        <sz val="11"/>
        <color indexed="10"/>
        <rFont val="굴림"/>
        <family val="3"/>
        <charset val="129"/>
      </rPr>
      <t>판매할</t>
    </r>
    <r>
      <rPr>
        <b/>
        <sz val="11"/>
        <color indexed="10"/>
        <rFont val="Arial"/>
        <family val="2"/>
      </rPr>
      <t xml:space="preserve"> </t>
    </r>
    <r>
      <rPr>
        <b/>
        <sz val="11"/>
        <color indexed="10"/>
        <rFont val="굴림"/>
        <family val="3"/>
        <charset val="129"/>
      </rPr>
      <t>수도</t>
    </r>
    <r>
      <rPr>
        <b/>
        <sz val="11"/>
        <color indexed="10"/>
        <rFont val="Arial"/>
        <family val="2"/>
      </rPr>
      <t xml:space="preserve"> </t>
    </r>
    <r>
      <rPr>
        <b/>
        <sz val="11"/>
        <color indexed="10"/>
        <rFont val="굴림"/>
        <family val="3"/>
        <charset val="129"/>
      </rPr>
      <t>있음</t>
    </r>
    <r>
      <rPr>
        <b/>
        <sz val="11"/>
        <color indexed="10"/>
        <rFont val="Arial"/>
        <family val="2"/>
      </rPr>
      <t xml:space="preserve">. </t>
    </r>
    <r>
      <rPr>
        <b/>
        <sz val="11"/>
        <color indexed="10"/>
        <rFont val="굴림"/>
        <family val="3"/>
        <charset val="129"/>
      </rPr>
      <t>표</t>
    </r>
    <r>
      <rPr>
        <b/>
        <sz val="11"/>
        <color indexed="10"/>
        <rFont val="Arial"/>
        <family val="2"/>
      </rPr>
      <t xml:space="preserve"> </t>
    </r>
    <r>
      <rPr>
        <b/>
        <sz val="11"/>
        <color indexed="10"/>
        <rFont val="굴림"/>
        <family val="3"/>
        <charset val="129"/>
      </rPr>
      <t>맨</t>
    </r>
    <r>
      <rPr>
        <b/>
        <sz val="11"/>
        <color indexed="10"/>
        <rFont val="Arial"/>
        <family val="2"/>
      </rPr>
      <t xml:space="preserve"> </t>
    </r>
    <r>
      <rPr>
        <b/>
        <sz val="11"/>
        <color indexed="10"/>
        <rFont val="굴림"/>
        <family val="3"/>
        <charset val="129"/>
      </rPr>
      <t>우측의</t>
    </r>
    <r>
      <rPr>
        <b/>
        <sz val="11"/>
        <color indexed="10"/>
        <rFont val="Arial"/>
        <family val="2"/>
      </rPr>
      <t xml:space="preserve"> </t>
    </r>
    <r>
      <rPr>
        <b/>
        <sz val="11"/>
        <color indexed="10"/>
        <rFont val="굴림"/>
        <family val="3"/>
        <charset val="129"/>
      </rPr>
      <t>단가를</t>
    </r>
    <r>
      <rPr>
        <b/>
        <sz val="11"/>
        <color indexed="10"/>
        <rFont val="Arial"/>
        <family val="2"/>
      </rPr>
      <t xml:space="preserve"> </t>
    </r>
    <r>
      <rPr>
        <b/>
        <sz val="11"/>
        <color indexed="10"/>
        <rFont val="굴림"/>
        <family val="3"/>
        <charset val="129"/>
      </rPr>
      <t>참조할</t>
    </r>
    <r>
      <rPr>
        <b/>
        <sz val="11"/>
        <color indexed="10"/>
        <rFont val="Arial"/>
        <family val="2"/>
      </rPr>
      <t xml:space="preserve"> </t>
    </r>
    <r>
      <rPr>
        <b/>
        <sz val="11"/>
        <color indexed="10"/>
        <rFont val="굴림"/>
        <family val="3"/>
        <charset val="129"/>
      </rPr>
      <t>것</t>
    </r>
    <r>
      <rPr>
        <b/>
        <sz val="11"/>
        <color indexed="10"/>
        <rFont val="Arial"/>
        <family val="2"/>
      </rPr>
      <t>.</t>
    </r>
    <phoneticPr fontId="2" type="noConversion"/>
  </si>
  <si>
    <r>
      <t>TowerTab is to be sold by Pail base at the unit price in the far right column. For small systems, 1/2 Pail</t>
    </r>
    <r>
      <rPr>
        <b/>
        <sz val="11"/>
        <rFont val="Arial"/>
        <family val="2"/>
      </rPr>
      <t xml:space="preserve"> can</t>
    </r>
    <r>
      <rPr>
        <sz val="11"/>
        <rFont val="Arial"/>
        <family val="2"/>
      </rPr>
      <t xml:space="preserve"> be sold.</t>
    </r>
    <phoneticPr fontId="2" type="noConversion"/>
  </si>
  <si>
    <t>Total</t>
    <phoneticPr fontId="2" type="noConversion"/>
  </si>
  <si>
    <t>Solenoid Valve</t>
    <phoneticPr fontId="2" type="noConversion"/>
  </si>
  <si>
    <t>Weekly Timer</t>
    <phoneticPr fontId="2" type="noConversion"/>
  </si>
  <si>
    <r>
      <t>개</t>
    </r>
    <r>
      <rPr>
        <sz val="11"/>
        <rFont val="Arial"/>
        <family val="2"/>
      </rPr>
      <t>/2</t>
    </r>
    <r>
      <rPr>
        <sz val="11"/>
        <rFont val="굴림"/>
        <family val="3"/>
        <charset val="129"/>
      </rPr>
      <t>주</t>
    </r>
    <phoneticPr fontId="2" type="noConversion"/>
  </si>
  <si>
    <r>
      <t>개</t>
    </r>
    <r>
      <rPr>
        <sz val="11"/>
        <rFont val="Arial"/>
        <family val="2"/>
      </rPr>
      <t>/2</t>
    </r>
    <r>
      <rPr>
        <sz val="11"/>
        <rFont val="굴림"/>
        <family val="3"/>
        <charset val="129"/>
      </rPr>
      <t>주</t>
    </r>
    <phoneticPr fontId="2" type="noConversion"/>
  </si>
  <si>
    <t>CB-9099</t>
    <phoneticPr fontId="2" type="noConversion"/>
  </si>
  <si>
    <r>
      <t>개</t>
    </r>
    <r>
      <rPr>
        <sz val="11"/>
        <rFont val="Arial"/>
        <family val="2"/>
      </rPr>
      <t>/</t>
    </r>
    <r>
      <rPr>
        <sz val="11"/>
        <rFont val="굴림"/>
        <family val="3"/>
        <charset val="129"/>
      </rPr>
      <t>월</t>
    </r>
    <phoneticPr fontId="2" type="noConversion"/>
  </si>
  <si>
    <r>
      <t>개</t>
    </r>
    <r>
      <rPr>
        <sz val="11"/>
        <rFont val="Arial"/>
        <family val="2"/>
      </rPr>
      <t>/</t>
    </r>
    <r>
      <rPr>
        <sz val="11"/>
        <rFont val="굴림"/>
        <family val="3"/>
        <charset val="129"/>
      </rPr>
      <t>월</t>
    </r>
    <phoneticPr fontId="2" type="noConversion"/>
  </si>
  <si>
    <t>TowerTab</t>
    <phoneticPr fontId="2" type="noConversion"/>
  </si>
  <si>
    <t>Amount</t>
    <phoneticPr fontId="2" type="noConversion"/>
  </si>
  <si>
    <t>Amount</t>
    <phoneticPr fontId="2" type="noConversion"/>
  </si>
  <si>
    <t>Pail</t>
    <phoneticPr fontId="2" type="noConversion"/>
  </si>
  <si>
    <t>Unit Price</t>
    <phoneticPr fontId="2" type="noConversion"/>
  </si>
  <si>
    <t>Unit Price</t>
    <phoneticPr fontId="2" type="noConversion"/>
  </si>
  <si>
    <t>200 RT</t>
    <phoneticPr fontId="2" type="noConversion"/>
  </si>
  <si>
    <t>150 RT</t>
    <phoneticPr fontId="2" type="noConversion"/>
  </si>
  <si>
    <t>100 RT</t>
    <phoneticPr fontId="2" type="noConversion"/>
  </si>
  <si>
    <t>100 RT</t>
    <phoneticPr fontId="2" type="noConversion"/>
  </si>
  <si>
    <t>50 RT</t>
    <phoneticPr fontId="2" type="noConversion"/>
  </si>
  <si>
    <t>25 RT</t>
    <phoneticPr fontId="2" type="noConversion"/>
  </si>
  <si>
    <t>CoC=3</t>
    <phoneticPr fontId="2" type="noConversion"/>
  </si>
  <si>
    <t>Solenoid Valve</t>
    <phoneticPr fontId="2" type="noConversion"/>
  </si>
  <si>
    <t>Weekly Timer</t>
    <phoneticPr fontId="2" type="noConversion"/>
  </si>
  <si>
    <r>
      <t>개</t>
    </r>
    <r>
      <rPr>
        <sz val="11"/>
        <rFont val="Arial"/>
        <family val="2"/>
      </rPr>
      <t>/2</t>
    </r>
    <r>
      <rPr>
        <sz val="11"/>
        <rFont val="굴림"/>
        <family val="3"/>
        <charset val="129"/>
      </rPr>
      <t>주</t>
    </r>
    <phoneticPr fontId="2" type="noConversion"/>
  </si>
  <si>
    <r>
      <t>개</t>
    </r>
    <r>
      <rPr>
        <sz val="11"/>
        <rFont val="Arial"/>
        <family val="2"/>
      </rPr>
      <t>/2</t>
    </r>
    <r>
      <rPr>
        <sz val="11"/>
        <rFont val="굴림"/>
        <family val="3"/>
        <charset val="129"/>
      </rPr>
      <t>주</t>
    </r>
    <phoneticPr fontId="2" type="noConversion"/>
  </si>
  <si>
    <t>CB-9099</t>
    <phoneticPr fontId="2" type="noConversion"/>
  </si>
  <si>
    <r>
      <t>개</t>
    </r>
    <r>
      <rPr>
        <sz val="11"/>
        <rFont val="Arial"/>
        <family val="2"/>
      </rPr>
      <t>/</t>
    </r>
    <r>
      <rPr>
        <sz val="11"/>
        <rFont val="굴림"/>
        <family val="3"/>
        <charset val="129"/>
      </rPr>
      <t>월</t>
    </r>
    <phoneticPr fontId="2" type="noConversion"/>
  </si>
  <si>
    <r>
      <t>개</t>
    </r>
    <r>
      <rPr>
        <sz val="11"/>
        <rFont val="Arial"/>
        <family val="2"/>
      </rPr>
      <t>/</t>
    </r>
    <r>
      <rPr>
        <sz val="11"/>
        <rFont val="굴림"/>
        <family val="3"/>
        <charset val="129"/>
      </rPr>
      <t>월</t>
    </r>
    <phoneticPr fontId="2" type="noConversion"/>
  </si>
  <si>
    <t>TowerTab</t>
    <phoneticPr fontId="2" type="noConversion"/>
  </si>
  <si>
    <t>Amount</t>
    <phoneticPr fontId="2" type="noConversion"/>
  </si>
  <si>
    <t>Pail</t>
    <phoneticPr fontId="2" type="noConversion"/>
  </si>
  <si>
    <t>Pail</t>
    <phoneticPr fontId="2" type="noConversion"/>
  </si>
  <si>
    <t>200 RT</t>
    <phoneticPr fontId="2" type="noConversion"/>
  </si>
  <si>
    <t>150 RT</t>
    <phoneticPr fontId="2" type="noConversion"/>
  </si>
  <si>
    <t>CoC=6</t>
    <phoneticPr fontId="2" type="noConversion"/>
  </si>
  <si>
    <r>
      <t xml:space="preserve">TowerTab </t>
    </r>
    <r>
      <rPr>
        <b/>
        <sz val="13"/>
        <rFont val="굴림"/>
        <family val="3"/>
        <charset val="129"/>
      </rPr>
      <t>및</t>
    </r>
    <r>
      <rPr>
        <b/>
        <sz val="13"/>
        <rFont val="Arial"/>
        <family val="2"/>
      </rPr>
      <t xml:space="preserve"> CB-9099 </t>
    </r>
    <r>
      <rPr>
        <b/>
        <sz val="13"/>
        <rFont val="굴림"/>
        <family val="3"/>
        <charset val="129"/>
      </rPr>
      <t>연간</t>
    </r>
    <r>
      <rPr>
        <b/>
        <sz val="13"/>
        <rFont val="Arial"/>
        <family val="2"/>
      </rPr>
      <t xml:space="preserve"> </t>
    </r>
    <r>
      <rPr>
        <b/>
        <sz val="13"/>
        <rFont val="굴림"/>
        <family val="3"/>
        <charset val="129"/>
      </rPr>
      <t>소요량</t>
    </r>
    <r>
      <rPr>
        <b/>
        <sz val="13"/>
        <rFont val="Arial"/>
        <family val="2"/>
      </rPr>
      <t xml:space="preserve"> </t>
    </r>
    <r>
      <rPr>
        <b/>
        <sz val="13"/>
        <rFont val="굴림"/>
        <family val="3"/>
        <charset val="129"/>
      </rPr>
      <t>산출</t>
    </r>
    <r>
      <rPr>
        <b/>
        <sz val="13"/>
        <rFont val="Arial"/>
        <family val="2"/>
      </rPr>
      <t xml:space="preserve"> (</t>
    </r>
    <r>
      <rPr>
        <b/>
        <sz val="13"/>
        <rFont val="굴림"/>
        <family val="3"/>
        <charset val="129"/>
      </rPr>
      <t>예</t>
    </r>
    <r>
      <rPr>
        <b/>
        <sz val="13"/>
        <rFont val="Arial"/>
        <family val="2"/>
      </rPr>
      <t>: 50~100% Load x 24</t>
    </r>
    <r>
      <rPr>
        <b/>
        <sz val="13"/>
        <rFont val="굴림"/>
        <family val="3"/>
        <charset val="129"/>
      </rPr>
      <t>시간</t>
    </r>
    <r>
      <rPr>
        <b/>
        <sz val="13"/>
        <rFont val="Arial"/>
        <family val="2"/>
      </rPr>
      <t>/</t>
    </r>
    <r>
      <rPr>
        <b/>
        <sz val="13"/>
        <rFont val="굴림"/>
        <family val="3"/>
        <charset val="129"/>
      </rPr>
      <t>일</t>
    </r>
    <r>
      <rPr>
        <b/>
        <sz val="13"/>
        <rFont val="Arial"/>
        <family val="2"/>
      </rPr>
      <t xml:space="preserve"> x 7</t>
    </r>
    <r>
      <rPr>
        <b/>
        <sz val="13"/>
        <rFont val="굴림"/>
        <family val="3"/>
        <charset val="129"/>
      </rPr>
      <t>일</t>
    </r>
    <r>
      <rPr>
        <b/>
        <sz val="13"/>
        <rFont val="Arial"/>
        <family val="2"/>
      </rPr>
      <t>/</t>
    </r>
    <r>
      <rPr>
        <b/>
        <sz val="13"/>
        <rFont val="굴림"/>
        <family val="3"/>
        <charset val="129"/>
      </rPr>
      <t>주</t>
    </r>
    <r>
      <rPr>
        <b/>
        <sz val="13"/>
        <rFont val="Arial"/>
        <family val="2"/>
      </rPr>
      <t xml:space="preserve"> x 12</t>
    </r>
    <r>
      <rPr>
        <b/>
        <sz val="13"/>
        <rFont val="굴림"/>
        <family val="3"/>
        <charset val="129"/>
      </rPr>
      <t>개월</t>
    </r>
    <r>
      <rPr>
        <b/>
        <sz val="13"/>
        <rFont val="Arial"/>
        <family val="2"/>
      </rPr>
      <t>/</t>
    </r>
    <r>
      <rPr>
        <b/>
        <sz val="13"/>
        <rFont val="굴림"/>
        <family val="3"/>
        <charset val="129"/>
      </rPr>
      <t>년</t>
    </r>
    <r>
      <rPr>
        <b/>
        <sz val="13"/>
        <rFont val="Arial"/>
        <family val="2"/>
      </rPr>
      <t>)</t>
    </r>
    <phoneticPr fontId="2" type="noConversion"/>
  </si>
  <si>
    <t>200 g x 6 = 1.2 kg/pail</t>
    <phoneticPr fontId="2" type="noConversion"/>
  </si>
  <si>
    <t xml:space="preserve"> Ultra M</t>
    <phoneticPr fontId="2" type="noConversion"/>
  </si>
  <si>
    <r>
      <rPr>
        <sz val="12"/>
        <rFont val="휴먼견출새내기체"/>
        <family val="1"/>
        <charset val="129"/>
      </rPr>
      <t>월</t>
    </r>
    <r>
      <rPr>
        <sz val="12"/>
        <rFont val="Arial Rounded MT Bold"/>
        <family val="2"/>
      </rPr>
      <t xml:space="preserve"> 1</t>
    </r>
    <r>
      <rPr>
        <sz val="12"/>
        <rFont val="휴먼견출새내기체"/>
        <family val="1"/>
        <charset val="129"/>
      </rPr>
      <t>회</t>
    </r>
    <phoneticPr fontId="2" type="noConversion"/>
  </si>
  <si>
    <r>
      <t xml:space="preserve"> </t>
    </r>
    <r>
      <rPr>
        <sz val="10"/>
        <color theme="0" tint="-0.249977111117893"/>
        <rFont val="휴먼견출새내기체"/>
        <family val="1"/>
        <charset val="129"/>
      </rPr>
      <t>초기</t>
    </r>
    <r>
      <rPr>
        <sz val="10"/>
        <color theme="0" tint="-0.249977111117893"/>
        <rFont val="Arial Rounded MT Bold"/>
        <family val="2"/>
      </rPr>
      <t xml:space="preserve"> </t>
    </r>
    <r>
      <rPr>
        <sz val="10"/>
        <color theme="0" tint="-0.249977111117893"/>
        <rFont val="휴먼견출새내기체"/>
        <family val="1"/>
        <charset val="129"/>
      </rPr>
      <t>투입</t>
    </r>
    <r>
      <rPr>
        <sz val="10"/>
        <color theme="0" tint="-0.249977111117893"/>
        <rFont val="Arial Rounded MT Bold"/>
        <family val="2"/>
      </rPr>
      <t xml:space="preserve">: </t>
    </r>
    <r>
      <rPr>
        <sz val="10"/>
        <color theme="0" tint="-0.249977111117893"/>
        <rFont val="휴먼견출새내기체"/>
        <family val="1"/>
        <charset val="129"/>
      </rPr>
      <t>액상</t>
    </r>
    <r>
      <rPr>
        <sz val="10"/>
        <color theme="0" tint="-0.249977111117893"/>
        <rFont val="Arial Rounded MT Bold"/>
        <family val="2"/>
      </rPr>
      <t xml:space="preserve"> </t>
    </r>
    <r>
      <rPr>
        <sz val="10"/>
        <color theme="0" tint="-0.249977111117893"/>
        <rFont val="휴먼견출새내기체"/>
        <family val="1"/>
        <charset val="129"/>
      </rPr>
      <t>사용</t>
    </r>
    <phoneticPr fontId="2" type="noConversion"/>
  </si>
  <si>
    <t xml:space="preserve"> DuroCide C-100G</t>
    <phoneticPr fontId="2" type="noConversion"/>
  </si>
  <si>
    <t xml:space="preserve"> CB-9099K</t>
    <phoneticPr fontId="2" type="noConversion"/>
  </si>
  <si>
    <t>=422.2/20/0.454*1200*2*1.15*6=770,000</t>
    <phoneticPr fontId="2" type="noConversion"/>
  </si>
  <si>
    <r>
      <t xml:space="preserve">Cooling Tower  Water Balance and Calculation </t>
    </r>
    <r>
      <rPr>
        <sz val="12"/>
        <color indexed="9"/>
        <rFont val="Arial Rounded MT Bold"/>
        <family val="2"/>
      </rPr>
      <t>(~20220627)</t>
    </r>
    <phoneticPr fontId="2" type="noConversion"/>
  </si>
  <si>
    <t xml:space="preserve"> CA-31685 (non-P)</t>
    <phoneticPr fontId="2" type="noConversion"/>
  </si>
  <si>
    <t xml:space="preserve"> CA-9000MT</t>
    <phoneticPr fontId="2" type="noConversion"/>
  </si>
  <si>
    <t xml:space="preserve"> CA-20</t>
    <phoneticPr fontId="2" type="noConversion"/>
  </si>
  <si>
    <t xml:space="preserve"> AquaSperse (1 Liter x 12)</t>
    <phoneticPr fontId="2" type="noConversion"/>
  </si>
  <si>
    <t>대용량 펌프</t>
    <phoneticPr fontId="2" type="noConversion"/>
  </si>
  <si>
    <t>Ox-Away</t>
    <phoneticPr fontId="2" type="noConversion"/>
  </si>
  <si>
    <t xml:space="preserve"> Ox-Away</t>
    <phoneticPr fontId="2" type="noConversion"/>
  </si>
  <si>
    <t xml:space="preserve"> BP-10</t>
    <phoneticPr fontId="2" type="noConversion"/>
  </si>
  <si>
    <t xml:space="preserve"> BP-800</t>
    <phoneticPr fontId="2" type="noConversion"/>
  </si>
  <si>
    <t>To quantity is be determined by Lab Test with Actual Water</t>
    <phoneticPr fontId="2" type="noConversion"/>
  </si>
  <si>
    <r>
      <rPr>
        <sz val="12"/>
        <color indexed="48"/>
        <rFont val="HY헤드라인M"/>
        <family val="1"/>
        <charset val="129"/>
      </rPr>
      <t>입력</t>
    </r>
    <r>
      <rPr>
        <sz val="12"/>
        <color indexed="48"/>
        <rFont val="Tahoma"/>
        <family val="2"/>
      </rPr>
      <t xml:space="preserve">   </t>
    </r>
    <r>
      <rPr>
        <sz val="12"/>
        <color indexed="10"/>
        <rFont val="HY헤드라인M"/>
        <family val="1"/>
        <charset val="129"/>
      </rPr>
      <t>필요</t>
    </r>
    <r>
      <rPr>
        <sz val="12"/>
        <color indexed="10"/>
        <rFont val="Tahoma"/>
        <family val="2"/>
      </rPr>
      <t xml:space="preserve"> </t>
    </r>
    <r>
      <rPr>
        <sz val="12"/>
        <color indexed="10"/>
        <rFont val="HY헤드라인M"/>
        <family val="1"/>
        <charset val="129"/>
      </rPr>
      <t>시</t>
    </r>
    <r>
      <rPr>
        <sz val="12"/>
        <color indexed="10"/>
        <rFont val="Tahoma"/>
        <family val="2"/>
      </rPr>
      <t xml:space="preserve"> </t>
    </r>
    <r>
      <rPr>
        <sz val="12"/>
        <color indexed="10"/>
        <rFont val="HY헤드라인M"/>
        <family val="1"/>
        <charset val="129"/>
      </rPr>
      <t>조정</t>
    </r>
    <r>
      <rPr>
        <sz val="12"/>
        <color indexed="48"/>
        <rFont val="Tahoma"/>
        <family val="2"/>
      </rPr>
      <t xml:space="preserve">   </t>
    </r>
    <r>
      <rPr>
        <sz val="12"/>
        <rFont val="HY헤드라인M"/>
        <family val="1"/>
        <charset val="129"/>
      </rPr>
      <t>자동산출</t>
    </r>
    <r>
      <rPr>
        <sz val="12"/>
        <rFont val="Tahoma"/>
        <family val="2"/>
      </rPr>
      <t xml:space="preserve">   </t>
    </r>
    <r>
      <rPr>
        <sz val="12"/>
        <color indexed="23"/>
        <rFont val="HY헤드라인M"/>
        <family val="1"/>
        <charset val="129"/>
      </rPr>
      <t>고정</t>
    </r>
    <phoneticPr fontId="2" type="noConversion"/>
  </si>
  <si>
    <r>
      <t xml:space="preserve"> </t>
    </r>
    <r>
      <rPr>
        <sz val="12"/>
        <rFont val="HY헤드라인M"/>
        <family val="1"/>
        <charset val="129"/>
      </rPr>
      <t>냉각</t>
    </r>
    <r>
      <rPr>
        <sz val="12"/>
        <rFont val="Tahoma"/>
        <family val="2"/>
      </rPr>
      <t xml:space="preserve"> </t>
    </r>
    <r>
      <rPr>
        <sz val="12"/>
        <rFont val="HY헤드라인M"/>
        <family val="1"/>
        <charset val="129"/>
      </rPr>
      <t>용량</t>
    </r>
    <phoneticPr fontId="2" type="noConversion"/>
  </si>
  <si>
    <r>
      <rPr>
        <sz val="12"/>
        <rFont val="HY헤드라인M"/>
        <family val="1"/>
        <charset val="129"/>
      </rPr>
      <t>항목</t>
    </r>
    <phoneticPr fontId="2" type="noConversion"/>
  </si>
  <si>
    <r>
      <rPr>
        <sz val="12"/>
        <rFont val="HY헤드라인M"/>
        <family val="1"/>
        <charset val="129"/>
      </rPr>
      <t>보충수</t>
    </r>
    <phoneticPr fontId="2" type="noConversion"/>
  </si>
  <si>
    <r>
      <rPr>
        <sz val="12"/>
        <rFont val="HY헤드라인M"/>
        <family val="1"/>
        <charset val="129"/>
      </rPr>
      <t>순환수</t>
    </r>
    <phoneticPr fontId="2" type="noConversion"/>
  </si>
  <si>
    <r>
      <t xml:space="preserve"> </t>
    </r>
    <r>
      <rPr>
        <sz val="12"/>
        <rFont val="HY헤드라인M"/>
        <family val="1"/>
        <charset val="129"/>
      </rPr>
      <t>현재</t>
    </r>
    <r>
      <rPr>
        <sz val="12"/>
        <rFont val="Tahoma"/>
        <family val="2"/>
      </rPr>
      <t xml:space="preserve"> </t>
    </r>
    <r>
      <rPr>
        <sz val="12"/>
        <rFont val="HY헤드라인M"/>
        <family val="1"/>
        <charset val="129"/>
      </rPr>
      <t>농축배수</t>
    </r>
    <phoneticPr fontId="2" type="noConversion"/>
  </si>
  <si>
    <r>
      <t xml:space="preserve"> </t>
    </r>
    <r>
      <rPr>
        <sz val="12"/>
        <rFont val="HY헤드라인M"/>
        <family val="1"/>
        <charset val="129"/>
      </rPr>
      <t>집수조</t>
    </r>
    <phoneticPr fontId="2" type="noConversion"/>
  </si>
  <si>
    <r>
      <t>m</t>
    </r>
    <r>
      <rPr>
        <vertAlign val="superscript"/>
        <sz val="12"/>
        <rFont val="Tahoma"/>
        <family val="2"/>
      </rPr>
      <t>3</t>
    </r>
    <phoneticPr fontId="2" type="noConversion"/>
  </si>
  <si>
    <r>
      <rPr>
        <sz val="12"/>
        <rFont val="HY헤드라인M"/>
        <family val="1"/>
        <charset val="129"/>
      </rPr>
      <t>전도도</t>
    </r>
    <phoneticPr fontId="2" type="noConversion"/>
  </si>
  <si>
    <r>
      <t xml:space="preserve"> </t>
    </r>
    <r>
      <rPr>
        <sz val="12"/>
        <rFont val="HY헤드라인M"/>
        <family val="1"/>
        <charset val="129"/>
      </rPr>
      <t>현재</t>
    </r>
    <r>
      <rPr>
        <sz val="12"/>
        <rFont val="Tahoma"/>
        <family val="2"/>
      </rPr>
      <t xml:space="preserve"> </t>
    </r>
    <r>
      <rPr>
        <sz val="12"/>
        <rFont val="HY헤드라인M"/>
        <family val="1"/>
        <charset val="129"/>
      </rPr>
      <t>블로우량</t>
    </r>
    <phoneticPr fontId="2" type="noConversion"/>
  </si>
  <si>
    <r>
      <t>m</t>
    </r>
    <r>
      <rPr>
        <vertAlign val="superscript"/>
        <sz val="12"/>
        <rFont val="Tahoma"/>
        <family val="2"/>
      </rPr>
      <t>3</t>
    </r>
    <r>
      <rPr>
        <sz val="12"/>
        <rFont val="Tahoma"/>
        <family val="2"/>
      </rPr>
      <t>/Hr</t>
    </r>
    <phoneticPr fontId="2" type="noConversion"/>
  </si>
  <si>
    <r>
      <t xml:space="preserve"> </t>
    </r>
    <r>
      <rPr>
        <sz val="12"/>
        <rFont val="HY헤드라인M"/>
        <family val="1"/>
        <charset val="129"/>
      </rPr>
      <t>보유수량</t>
    </r>
    <phoneticPr fontId="2" type="noConversion"/>
  </si>
  <si>
    <r>
      <rPr>
        <sz val="12"/>
        <rFont val="HY헤드라인M"/>
        <family val="1"/>
        <charset val="129"/>
      </rPr>
      <t>총경도</t>
    </r>
    <phoneticPr fontId="2" type="noConversion"/>
  </si>
  <si>
    <r>
      <t xml:space="preserve"> </t>
    </r>
    <r>
      <rPr>
        <sz val="12"/>
        <rFont val="HY헤드라인M"/>
        <family val="1"/>
        <charset val="129"/>
      </rPr>
      <t>목표</t>
    </r>
    <r>
      <rPr>
        <sz val="12"/>
        <rFont val="Tahoma"/>
        <family val="2"/>
      </rPr>
      <t xml:space="preserve"> </t>
    </r>
    <r>
      <rPr>
        <sz val="12"/>
        <rFont val="HY헤드라인M"/>
        <family val="1"/>
        <charset val="129"/>
      </rPr>
      <t>농축배수</t>
    </r>
    <phoneticPr fontId="2" type="noConversion"/>
  </si>
  <si>
    <r>
      <t xml:space="preserve"> </t>
    </r>
    <r>
      <rPr>
        <sz val="12"/>
        <rFont val="HY헤드라인M"/>
        <family val="1"/>
        <charset val="129"/>
      </rPr>
      <t>순환수량</t>
    </r>
    <phoneticPr fontId="2" type="noConversion"/>
  </si>
  <si>
    <r>
      <rPr>
        <sz val="12"/>
        <rFont val="HY헤드라인M"/>
        <family val="1"/>
        <charset val="129"/>
      </rPr>
      <t>전알칼리</t>
    </r>
    <phoneticPr fontId="2" type="noConversion"/>
  </si>
  <si>
    <r>
      <t xml:space="preserve"> </t>
    </r>
    <r>
      <rPr>
        <sz val="12"/>
        <rFont val="HY헤드라인M"/>
        <family val="1"/>
        <charset val="129"/>
      </rPr>
      <t>목표</t>
    </r>
    <r>
      <rPr>
        <sz val="12"/>
        <rFont val="Tahoma"/>
        <family val="2"/>
      </rPr>
      <t xml:space="preserve"> </t>
    </r>
    <r>
      <rPr>
        <sz val="12"/>
        <rFont val="HY헤드라인M"/>
        <family val="1"/>
        <charset val="129"/>
      </rPr>
      <t>블로우량</t>
    </r>
    <phoneticPr fontId="2" type="noConversion"/>
  </si>
  <si>
    <r>
      <t xml:space="preserve"> </t>
    </r>
    <r>
      <rPr>
        <sz val="12"/>
        <rFont val="HY헤드라인M"/>
        <family val="1"/>
        <charset val="129"/>
      </rPr>
      <t>타워</t>
    </r>
    <r>
      <rPr>
        <sz val="12"/>
        <rFont val="Tahoma"/>
        <family val="2"/>
      </rPr>
      <t xml:space="preserve"> delta-T</t>
    </r>
    <phoneticPr fontId="2" type="noConversion"/>
  </si>
  <si>
    <r>
      <t>o</t>
    </r>
    <r>
      <rPr>
        <sz val="12"/>
        <rFont val="Tahoma"/>
        <family val="2"/>
      </rPr>
      <t>C</t>
    </r>
    <phoneticPr fontId="2" type="noConversion"/>
  </si>
  <si>
    <r>
      <t xml:space="preserve"> </t>
    </r>
    <r>
      <rPr>
        <sz val="12"/>
        <rFont val="HY헤드라인M"/>
        <family val="1"/>
        <charset val="129"/>
      </rPr>
      <t>증발량</t>
    </r>
    <phoneticPr fontId="2" type="noConversion"/>
  </si>
  <si>
    <r>
      <rPr>
        <sz val="12"/>
        <rFont val="HY헤드라인M"/>
        <family val="1"/>
        <charset val="129"/>
      </rPr>
      <t>표면온도</t>
    </r>
    <phoneticPr fontId="2" type="noConversion"/>
  </si>
  <si>
    <r>
      <rPr>
        <sz val="12"/>
        <rFont val="HY헤드라인M"/>
        <family val="1"/>
        <charset val="129"/>
      </rPr>
      <t>가동</t>
    </r>
    <r>
      <rPr>
        <sz val="12"/>
        <rFont val="Tahoma"/>
        <family val="2"/>
      </rPr>
      <t xml:space="preserve"> </t>
    </r>
    <r>
      <rPr>
        <sz val="12"/>
        <rFont val="HY헤드라인M"/>
        <family val="1"/>
        <charset val="129"/>
      </rPr>
      <t>스케쥴</t>
    </r>
    <phoneticPr fontId="2" type="noConversion"/>
  </si>
  <si>
    <r>
      <t xml:space="preserve"> </t>
    </r>
    <r>
      <rPr>
        <sz val="12"/>
        <rFont val="HY헤드라인M"/>
        <family val="1"/>
        <charset val="129"/>
      </rPr>
      <t>비산량</t>
    </r>
    <phoneticPr fontId="2" type="noConversion"/>
  </si>
  <si>
    <r>
      <rPr>
        <sz val="12"/>
        <rFont val="HY헤드라인M"/>
        <family val="1"/>
        <charset val="129"/>
      </rPr>
      <t>시간</t>
    </r>
    <r>
      <rPr>
        <sz val="12"/>
        <rFont val="Tahoma"/>
        <family val="2"/>
      </rPr>
      <t>/</t>
    </r>
    <r>
      <rPr>
        <sz val="12"/>
        <rFont val="HY헤드라인M"/>
        <family val="1"/>
        <charset val="129"/>
      </rPr>
      <t>일</t>
    </r>
    <phoneticPr fontId="2" type="noConversion"/>
  </si>
  <si>
    <r>
      <t xml:space="preserve"> </t>
    </r>
    <r>
      <rPr>
        <sz val="12"/>
        <rFont val="HY헤드라인M"/>
        <family val="1"/>
        <charset val="129"/>
      </rPr>
      <t>보충수량</t>
    </r>
    <phoneticPr fontId="2" type="noConversion"/>
  </si>
  <si>
    <r>
      <rPr>
        <sz val="12"/>
        <rFont val="HY헤드라인M"/>
        <family val="1"/>
        <charset val="129"/>
      </rPr>
      <t>염화물</t>
    </r>
    <phoneticPr fontId="2" type="noConversion"/>
  </si>
  <si>
    <r>
      <rPr>
        <sz val="12"/>
        <rFont val="HY헤드라인M"/>
        <family val="1"/>
        <charset val="129"/>
      </rPr>
      <t>일</t>
    </r>
    <r>
      <rPr>
        <sz val="12"/>
        <rFont val="Tahoma"/>
        <family val="2"/>
      </rPr>
      <t>/</t>
    </r>
    <r>
      <rPr>
        <sz val="12"/>
        <rFont val="HY헤드라인M"/>
        <family val="1"/>
        <charset val="129"/>
      </rPr>
      <t>월</t>
    </r>
    <phoneticPr fontId="2" type="noConversion"/>
  </si>
  <si>
    <r>
      <t xml:space="preserve"> </t>
    </r>
    <r>
      <rPr>
        <sz val="12"/>
        <rFont val="HY헤드라인M"/>
        <family val="1"/>
        <charset val="129"/>
      </rPr>
      <t>반감기</t>
    </r>
    <phoneticPr fontId="2" type="noConversion"/>
  </si>
  <si>
    <r>
      <rPr>
        <sz val="12"/>
        <rFont val="HY헤드라인M"/>
        <family val="1"/>
        <charset val="129"/>
      </rPr>
      <t>실리카</t>
    </r>
    <phoneticPr fontId="2" type="noConversion"/>
  </si>
  <si>
    <r>
      <rPr>
        <sz val="12"/>
        <rFont val="HY헤드라인M"/>
        <family val="1"/>
        <charset val="129"/>
      </rPr>
      <t>월</t>
    </r>
    <r>
      <rPr>
        <sz val="12"/>
        <rFont val="Tahoma"/>
        <family val="2"/>
      </rPr>
      <t>/</t>
    </r>
    <r>
      <rPr>
        <sz val="12"/>
        <rFont val="HY헤드라인M"/>
        <family val="1"/>
        <charset val="129"/>
      </rPr>
      <t>년</t>
    </r>
    <phoneticPr fontId="2" type="noConversion"/>
  </si>
  <si>
    <r>
      <rPr>
        <sz val="12"/>
        <rFont val="HY헤드라인M"/>
        <family val="1"/>
        <charset val="129"/>
      </rPr>
      <t>초기투입</t>
    </r>
    <phoneticPr fontId="2" type="noConversion"/>
  </si>
  <si>
    <r>
      <t xml:space="preserve"> </t>
    </r>
    <r>
      <rPr>
        <sz val="10"/>
        <color theme="0" tint="-0.249977111117893"/>
        <rFont val="HY헤드라인M"/>
        <family val="1"/>
        <charset val="129"/>
      </rPr>
      <t>냉온수기</t>
    </r>
    <r>
      <rPr>
        <sz val="10"/>
        <color theme="0" tint="-0.249977111117893"/>
        <rFont val="Tahoma"/>
        <family val="2"/>
      </rPr>
      <t>: 1.3</t>
    </r>
    <r>
      <rPr>
        <sz val="10"/>
        <color theme="0" tint="-0.249977111117893"/>
        <rFont val="HY헤드라인M"/>
        <family val="1"/>
        <charset val="129"/>
      </rPr>
      <t>배</t>
    </r>
    <phoneticPr fontId="2" type="noConversion"/>
  </si>
  <si>
    <r>
      <t xml:space="preserve"> </t>
    </r>
    <r>
      <rPr>
        <sz val="10"/>
        <color theme="0" tint="-0.249977111117893"/>
        <rFont val="HY헤드라인M"/>
        <family val="1"/>
        <charset val="129"/>
      </rPr>
      <t>용해도</t>
    </r>
    <r>
      <rPr>
        <sz val="10"/>
        <color theme="0" tint="-0.249977111117893"/>
        <rFont val="Tahoma"/>
        <family val="2"/>
      </rPr>
      <t>: 12% @25</t>
    </r>
    <r>
      <rPr>
        <vertAlign val="superscript"/>
        <sz val="10"/>
        <color theme="0" tint="-0.249977111117893"/>
        <rFont val="Tahoma"/>
        <family val="2"/>
      </rPr>
      <t>o</t>
    </r>
    <r>
      <rPr>
        <sz val="10"/>
        <color theme="0" tint="-0.249977111117893"/>
        <rFont val="Tahoma"/>
        <family val="2"/>
      </rPr>
      <t>C</t>
    </r>
    <phoneticPr fontId="2" type="noConversion"/>
  </si>
  <si>
    <r>
      <t>1</t>
    </r>
    <r>
      <rPr>
        <sz val="12"/>
        <rFont val="HY헤드라인M"/>
        <family val="1"/>
        <charset val="129"/>
      </rPr>
      <t>회투입량</t>
    </r>
    <phoneticPr fontId="2" type="noConversion"/>
  </si>
  <si>
    <r>
      <rPr>
        <sz val="12"/>
        <rFont val="HY헤드라인M"/>
        <family val="1"/>
        <charset val="129"/>
      </rPr>
      <t>투입주기</t>
    </r>
    <r>
      <rPr>
        <sz val="12"/>
        <rFont val="Tahoma"/>
        <family val="2"/>
      </rPr>
      <t>(</t>
    </r>
    <r>
      <rPr>
        <sz val="12"/>
        <rFont val="HY헤드라인M"/>
        <family val="1"/>
        <charset val="129"/>
      </rPr>
      <t>일</t>
    </r>
    <r>
      <rPr>
        <sz val="12"/>
        <rFont val="Tahoma"/>
        <family val="2"/>
      </rPr>
      <t>)</t>
    </r>
    <phoneticPr fontId="2" type="noConversion"/>
  </si>
  <si>
    <r>
      <t xml:space="preserve"> 1~4</t>
    </r>
    <r>
      <rPr>
        <sz val="10"/>
        <color theme="0" tint="-0.249977111117893"/>
        <rFont val="HY헤드라인M"/>
        <family val="1"/>
        <charset val="129"/>
      </rPr>
      <t>주</t>
    </r>
    <r>
      <rPr>
        <sz val="10"/>
        <color theme="0" tint="-0.249977111117893"/>
        <rFont val="Tahoma"/>
        <family val="2"/>
      </rPr>
      <t xml:space="preserve"> </t>
    </r>
    <r>
      <rPr>
        <sz val="10"/>
        <color theme="0" tint="-0.249977111117893"/>
        <rFont val="HY헤드라인M"/>
        <family val="1"/>
        <charset val="129"/>
      </rPr>
      <t>당</t>
    </r>
    <r>
      <rPr>
        <sz val="10"/>
        <color theme="0" tint="-0.249977111117893"/>
        <rFont val="Tahoma"/>
        <family val="2"/>
      </rPr>
      <t xml:space="preserve"> 1</t>
    </r>
    <r>
      <rPr>
        <sz val="10"/>
        <color theme="0" tint="-0.249977111117893"/>
        <rFont val="HY헤드라인M"/>
        <family val="1"/>
        <charset val="129"/>
      </rPr>
      <t>회</t>
    </r>
    <phoneticPr fontId="2" type="noConversion"/>
  </si>
  <si>
    <r>
      <t xml:space="preserve"> </t>
    </r>
    <r>
      <rPr>
        <sz val="10"/>
        <color theme="0" tint="-0.249977111117893"/>
        <rFont val="HY헤드라인M"/>
        <family val="1"/>
        <charset val="129"/>
      </rPr>
      <t>단위</t>
    </r>
    <r>
      <rPr>
        <sz val="10"/>
        <color theme="0" tint="-0.249977111117893"/>
        <rFont val="Tahoma"/>
        <family val="2"/>
      </rPr>
      <t>: Kg</t>
    </r>
    <phoneticPr fontId="2" type="noConversion"/>
  </si>
  <si>
    <r>
      <rPr>
        <sz val="12"/>
        <rFont val="HY헤드라인M"/>
        <family val="1"/>
        <charset val="129"/>
      </rPr>
      <t>잔류염소</t>
    </r>
    <phoneticPr fontId="2" type="noConversion"/>
  </si>
  <si>
    <r>
      <rPr>
        <sz val="12"/>
        <rFont val="HY헤드라인M"/>
        <family val="1"/>
        <charset val="129"/>
      </rPr>
      <t>연소요량</t>
    </r>
    <phoneticPr fontId="2" type="noConversion"/>
  </si>
  <si>
    <r>
      <rPr>
        <sz val="12"/>
        <rFont val="HY헤드라인M"/>
        <family val="1"/>
        <charset val="129"/>
      </rPr>
      <t>원</t>
    </r>
    <r>
      <rPr>
        <sz val="12"/>
        <rFont val="Tahoma"/>
        <family val="2"/>
      </rPr>
      <t>/L or Kg</t>
    </r>
    <phoneticPr fontId="2" type="noConversion"/>
  </si>
  <si>
    <r>
      <rPr>
        <sz val="12"/>
        <rFont val="HY헤드라인M"/>
        <family val="1"/>
        <charset val="129"/>
      </rPr>
      <t>원</t>
    </r>
    <r>
      <rPr>
        <sz val="12"/>
        <rFont val="Tahoma"/>
        <family val="2"/>
      </rPr>
      <t>/</t>
    </r>
    <r>
      <rPr>
        <sz val="12"/>
        <rFont val="HY헤드라인M"/>
        <family val="1"/>
        <charset val="129"/>
      </rPr>
      <t>년</t>
    </r>
    <phoneticPr fontId="2" type="noConversion"/>
  </si>
  <si>
    <r>
      <t xml:space="preserve"> </t>
    </r>
    <r>
      <rPr>
        <sz val="10"/>
        <color theme="0" tint="-0.249977111117893"/>
        <rFont val="HY헤드라인M"/>
        <family val="1"/>
        <charset val="129"/>
      </rPr>
      <t>초기</t>
    </r>
    <r>
      <rPr>
        <sz val="10"/>
        <color theme="0" tint="-0.249977111117893"/>
        <rFont val="Tahoma"/>
        <family val="2"/>
      </rPr>
      <t xml:space="preserve"> </t>
    </r>
    <r>
      <rPr>
        <sz val="10"/>
        <color theme="0" tint="-0.249977111117893"/>
        <rFont val="HY헤드라인M"/>
        <family val="1"/>
        <charset val="129"/>
      </rPr>
      <t>투입</t>
    </r>
    <r>
      <rPr>
        <sz val="10"/>
        <color theme="0" tint="-0.249977111117893"/>
        <rFont val="Tahoma"/>
        <family val="2"/>
      </rPr>
      <t xml:space="preserve">: </t>
    </r>
    <r>
      <rPr>
        <sz val="10"/>
        <color theme="0" tint="-0.249977111117893"/>
        <rFont val="HY헤드라인M"/>
        <family val="1"/>
        <charset val="129"/>
      </rPr>
      <t>액상</t>
    </r>
    <r>
      <rPr>
        <sz val="10"/>
        <color theme="0" tint="-0.249977111117893"/>
        <rFont val="Tahoma"/>
        <family val="2"/>
      </rPr>
      <t xml:space="preserve"> </t>
    </r>
    <r>
      <rPr>
        <sz val="10"/>
        <color theme="0" tint="-0.249977111117893"/>
        <rFont val="HY헤드라인M"/>
        <family val="1"/>
        <charset val="129"/>
      </rPr>
      <t>사용</t>
    </r>
    <phoneticPr fontId="2" type="noConversion"/>
  </si>
  <si>
    <r>
      <rPr>
        <sz val="12"/>
        <rFont val="HY헤드라인M"/>
        <family val="1"/>
        <charset val="129"/>
      </rPr>
      <t>월</t>
    </r>
    <r>
      <rPr>
        <sz val="12"/>
        <rFont val="Tahoma"/>
        <family val="2"/>
      </rPr>
      <t xml:space="preserve"> 1</t>
    </r>
    <r>
      <rPr>
        <sz val="12"/>
        <rFont val="HY헤드라인M"/>
        <family val="1"/>
        <charset val="129"/>
      </rPr>
      <t>회</t>
    </r>
    <phoneticPr fontId="2" type="noConversion"/>
  </si>
  <si>
    <r>
      <rPr>
        <b/>
        <sz val="10"/>
        <color theme="0" tint="-0.499984740745262"/>
        <rFont val="HY헤드라인M"/>
        <family val="1"/>
        <charset val="129"/>
      </rPr>
      <t>대용량</t>
    </r>
    <r>
      <rPr>
        <b/>
        <sz val="10"/>
        <color theme="0" tint="-0.499984740745262"/>
        <rFont val="Tahoma"/>
        <family val="2"/>
      </rPr>
      <t xml:space="preserve"> </t>
    </r>
    <r>
      <rPr>
        <b/>
        <sz val="10"/>
        <color theme="0" tint="-0.499984740745262"/>
        <rFont val="HY헤드라인M"/>
        <family val="1"/>
        <charset val="129"/>
      </rPr>
      <t>펌프</t>
    </r>
    <phoneticPr fontId="2" type="noConversion"/>
  </si>
  <si>
    <r>
      <rPr>
        <sz val="12"/>
        <rFont val="HY헤드라인M"/>
        <family val="1"/>
        <charset val="129"/>
      </rPr>
      <t>원</t>
    </r>
    <phoneticPr fontId="2" type="noConversion"/>
  </si>
  <si>
    <r>
      <rPr>
        <sz val="12"/>
        <rFont val="HY헤드라인M"/>
        <family val="1"/>
        <charset val="129"/>
      </rPr>
      <t>구분</t>
    </r>
    <phoneticPr fontId="2" type="noConversion"/>
  </si>
  <si>
    <r>
      <rPr>
        <sz val="12"/>
        <rFont val="HY헤드라인M"/>
        <family val="1"/>
        <charset val="129"/>
      </rPr>
      <t>제품</t>
    </r>
    <phoneticPr fontId="2" type="noConversion"/>
  </si>
  <si>
    <r>
      <rPr>
        <sz val="12"/>
        <rFont val="HY헤드라인M"/>
        <family val="1"/>
        <charset val="129"/>
      </rPr>
      <t>보유수량</t>
    </r>
    <phoneticPr fontId="2" type="noConversion"/>
  </si>
  <si>
    <r>
      <rPr>
        <sz val="12"/>
        <rFont val="HY헤드라인M"/>
        <family val="1"/>
        <charset val="129"/>
      </rPr>
      <t>소요량</t>
    </r>
    <phoneticPr fontId="2" type="noConversion"/>
  </si>
  <si>
    <r>
      <rPr>
        <sz val="12"/>
        <rFont val="HY헤드라인M"/>
        <family val="1"/>
        <charset val="129"/>
      </rPr>
      <t>단위</t>
    </r>
    <phoneticPr fontId="2" type="noConversion"/>
  </si>
  <si>
    <r>
      <rPr>
        <sz val="12"/>
        <rFont val="HY헤드라인M"/>
        <family val="1"/>
        <charset val="129"/>
      </rPr>
      <t>단가</t>
    </r>
    <phoneticPr fontId="2" type="noConversion"/>
  </si>
  <si>
    <r>
      <t xml:space="preserve"> </t>
    </r>
    <r>
      <rPr>
        <sz val="10"/>
        <color theme="0" tint="-0.249977111117893"/>
        <rFont val="HY헤드라인M"/>
        <family val="1"/>
        <charset val="129"/>
      </rPr>
      <t>소요량</t>
    </r>
    <r>
      <rPr>
        <sz val="10"/>
        <color theme="0" tint="-0.249977111117893"/>
        <rFont val="Tahoma"/>
        <family val="2"/>
      </rPr>
      <t xml:space="preserve"> </t>
    </r>
    <r>
      <rPr>
        <sz val="10"/>
        <color theme="0" tint="-0.249977111117893"/>
        <rFont val="HY헤드라인M"/>
        <family val="1"/>
        <charset val="129"/>
      </rPr>
      <t>연</t>
    </r>
    <r>
      <rPr>
        <sz val="10"/>
        <color theme="0" tint="-0.249977111117893"/>
        <rFont val="Tahoma"/>
        <family val="2"/>
      </rPr>
      <t>4</t>
    </r>
    <r>
      <rPr>
        <sz val="10"/>
        <color theme="0" tint="-0.249977111117893"/>
        <rFont val="HY헤드라인M"/>
        <family val="1"/>
        <charset val="129"/>
      </rPr>
      <t>회</t>
    </r>
    <r>
      <rPr>
        <sz val="10"/>
        <color theme="0" tint="-0.249977111117893"/>
        <rFont val="Tahoma"/>
        <family val="2"/>
      </rPr>
      <t xml:space="preserve"> </t>
    </r>
    <r>
      <rPr>
        <sz val="10"/>
        <color theme="0" tint="-0.249977111117893"/>
        <rFont val="HY헤드라인M"/>
        <family val="1"/>
        <charset val="129"/>
      </rPr>
      <t>투입</t>
    </r>
    <r>
      <rPr>
        <sz val="10"/>
        <color theme="0" tint="-0.249977111117893"/>
        <rFont val="Tahoma"/>
        <family val="2"/>
      </rPr>
      <t xml:space="preserve"> </t>
    </r>
    <r>
      <rPr>
        <sz val="10"/>
        <color theme="0" tint="-0.249977111117893"/>
        <rFont val="HY헤드라인M"/>
        <family val="1"/>
        <charset val="129"/>
      </rPr>
      <t>기준</t>
    </r>
    <phoneticPr fontId="2" type="noConversion"/>
  </si>
  <si>
    <r>
      <rPr>
        <sz val="12"/>
        <color theme="0" tint="-0.499984740745262"/>
        <rFont val="HY헤드라인M"/>
        <family val="1"/>
        <charset val="129"/>
      </rPr>
      <t>원</t>
    </r>
    <r>
      <rPr>
        <sz val="12"/>
        <color theme="0" tint="-0.499984740745262"/>
        <rFont val="Tahoma"/>
        <family val="2"/>
      </rPr>
      <t>/</t>
    </r>
    <r>
      <rPr>
        <sz val="12"/>
        <color theme="0" tint="-0.499984740745262"/>
        <rFont val="HY헤드라인M"/>
        <family val="1"/>
        <charset val="129"/>
      </rPr>
      <t>년</t>
    </r>
    <phoneticPr fontId="2" type="noConversion"/>
  </si>
  <si>
    <r>
      <t xml:space="preserve"> </t>
    </r>
    <r>
      <rPr>
        <sz val="10"/>
        <color theme="0" tint="-0.249977111117893"/>
        <rFont val="HY헤드라인M"/>
        <family val="1"/>
        <charset val="129"/>
      </rPr>
      <t>에바콘</t>
    </r>
    <r>
      <rPr>
        <sz val="10"/>
        <color theme="0" tint="-0.249977111117893"/>
        <rFont val="Tahoma"/>
        <family val="2"/>
      </rPr>
      <t>.</t>
    </r>
    <r>
      <rPr>
        <sz val="10"/>
        <color theme="0" tint="-0.249977111117893"/>
        <rFont val="HY헤드라인M"/>
        <family val="1"/>
        <charset val="129"/>
      </rPr>
      <t>밀폐회로냉각탑</t>
    </r>
    <phoneticPr fontId="2" type="noConversion"/>
  </si>
  <si>
    <r>
      <t xml:space="preserve"> 3</t>
    </r>
    <r>
      <rPr>
        <sz val="10"/>
        <color theme="0" tint="-0.249977111117893"/>
        <rFont val="HY헤드라인M"/>
        <family val="1"/>
        <charset val="129"/>
      </rPr>
      <t>개월</t>
    </r>
    <r>
      <rPr>
        <sz val="10"/>
        <color theme="0" tint="-0.249977111117893"/>
        <rFont val="Tahoma"/>
        <family val="2"/>
      </rPr>
      <t xml:space="preserve"> </t>
    </r>
    <r>
      <rPr>
        <sz val="10"/>
        <color theme="0" tint="-0.249977111117893"/>
        <rFont val="HY헤드라인M"/>
        <family val="1"/>
        <charset val="129"/>
      </rPr>
      <t>소요량</t>
    </r>
    <phoneticPr fontId="2" type="noConversion"/>
  </si>
  <si>
    <t xml:space="preserve"> CA-34500 Silica</t>
    <phoneticPr fontId="2" type="noConversion"/>
  </si>
  <si>
    <t>CoC</t>
    <phoneticPr fontId="2" type="noConversion"/>
  </si>
  <si>
    <t>CA-31155</t>
    <phoneticPr fontId="2" type="noConversion"/>
  </si>
  <si>
    <t>CA-34500</t>
    <phoneticPr fontId="2" type="noConversion"/>
  </si>
  <si>
    <t>Increase CoC to</t>
    <phoneticPr fontId="2" type="noConversion"/>
  </si>
  <si>
    <r>
      <rPr>
        <sz val="12"/>
        <rFont val="HY헤드라인M"/>
        <family val="1"/>
        <charset val="129"/>
      </rPr>
      <t>순환수</t>
    </r>
    <r>
      <rPr>
        <sz val="12"/>
        <rFont val="Tahoma"/>
        <family val="2"/>
      </rPr>
      <t xml:space="preserve"> Silica</t>
    </r>
    <r>
      <rPr>
        <sz val="12"/>
        <rFont val="HY헤드라인M"/>
        <family val="1"/>
        <charset val="129"/>
      </rPr>
      <t>가</t>
    </r>
    <r>
      <rPr>
        <sz val="12"/>
        <rFont val="Tahoma"/>
        <family val="2"/>
      </rPr>
      <t xml:space="preserve"> 150</t>
    </r>
    <r>
      <rPr>
        <sz val="12"/>
        <rFont val="HY헤드라인M"/>
        <family val="1"/>
        <charset val="129"/>
      </rPr>
      <t>일</t>
    </r>
    <r>
      <rPr>
        <sz val="12"/>
        <rFont val="Tahoma"/>
        <family val="2"/>
      </rPr>
      <t xml:space="preserve"> </t>
    </r>
    <r>
      <rPr>
        <sz val="12"/>
        <rFont val="HY헤드라인M"/>
        <family val="1"/>
        <charset val="129"/>
      </rPr>
      <t>때</t>
    </r>
    <r>
      <rPr>
        <sz val="12"/>
        <rFont val="Tahoma"/>
        <family val="2"/>
      </rPr>
      <t xml:space="preserve"> CoC </t>
    </r>
    <r>
      <rPr>
        <sz val="12"/>
        <rFont val="HY헤드라인M"/>
        <family val="1"/>
        <charset val="129"/>
      </rPr>
      <t>입력</t>
    </r>
    <phoneticPr fontId="2" type="noConversion"/>
  </si>
  <si>
    <r>
      <rPr>
        <sz val="12"/>
        <rFont val="HY헤드라인M"/>
        <family val="1"/>
        <charset val="129"/>
      </rPr>
      <t>그</t>
    </r>
    <r>
      <rPr>
        <sz val="12"/>
        <rFont val="Tahoma"/>
        <family val="2"/>
      </rPr>
      <t xml:space="preserve"> </t>
    </r>
    <r>
      <rPr>
        <sz val="12"/>
        <rFont val="HY헤드라인M"/>
        <family val="1"/>
        <charset val="129"/>
      </rPr>
      <t>때의</t>
    </r>
    <r>
      <rPr>
        <sz val="12"/>
        <rFont val="Tahoma"/>
        <family val="2"/>
      </rPr>
      <t xml:space="preserve"> 31155 </t>
    </r>
    <r>
      <rPr>
        <sz val="12"/>
        <rFont val="HY헤드라인M"/>
        <family val="1"/>
        <charset val="129"/>
      </rPr>
      <t>금액을</t>
    </r>
    <r>
      <rPr>
        <sz val="12"/>
        <rFont val="Tahoma"/>
        <family val="2"/>
      </rPr>
      <t xml:space="preserve"> </t>
    </r>
    <r>
      <rPr>
        <sz val="12"/>
        <rFont val="HY헤드라인M"/>
        <family val="1"/>
        <charset val="129"/>
      </rPr>
      <t>파란셀에</t>
    </r>
    <r>
      <rPr>
        <sz val="12"/>
        <rFont val="Tahoma"/>
        <family val="2"/>
      </rPr>
      <t xml:space="preserve"> "</t>
    </r>
    <r>
      <rPr>
        <sz val="12"/>
        <rFont val="HY헤드라인M"/>
        <family val="1"/>
        <charset val="129"/>
      </rPr>
      <t>값</t>
    </r>
    <r>
      <rPr>
        <sz val="12"/>
        <rFont val="Tahoma"/>
        <family val="2"/>
      </rPr>
      <t>"</t>
    </r>
    <r>
      <rPr>
        <sz val="12"/>
        <rFont val="HY헤드라인M"/>
        <family val="1"/>
        <charset val="129"/>
      </rPr>
      <t>으로</t>
    </r>
    <r>
      <rPr>
        <sz val="12"/>
        <rFont val="Tahoma"/>
        <family val="2"/>
      </rPr>
      <t xml:space="preserve"> </t>
    </r>
    <r>
      <rPr>
        <sz val="12"/>
        <rFont val="HY헤드라인M"/>
        <family val="1"/>
        <charset val="129"/>
      </rPr>
      <t>복사</t>
    </r>
    <phoneticPr fontId="2" type="noConversion"/>
  </si>
  <si>
    <r>
      <rPr>
        <sz val="12"/>
        <rFont val="HY헤드라인M"/>
        <family val="1"/>
        <charset val="129"/>
      </rPr>
      <t>순환수</t>
    </r>
    <r>
      <rPr>
        <sz val="12"/>
        <rFont val="Tahoma"/>
        <family val="2"/>
      </rPr>
      <t xml:space="preserve"> Silica</t>
    </r>
    <r>
      <rPr>
        <sz val="12"/>
        <rFont val="HY헤드라인M"/>
        <family val="1"/>
        <charset val="129"/>
      </rPr>
      <t>가</t>
    </r>
    <r>
      <rPr>
        <sz val="12"/>
        <rFont val="Tahoma"/>
        <family val="2"/>
      </rPr>
      <t xml:space="preserve"> 250</t>
    </r>
    <r>
      <rPr>
        <sz val="12"/>
        <rFont val="HY헤드라인M"/>
        <family val="1"/>
        <charset val="129"/>
      </rPr>
      <t>일</t>
    </r>
    <r>
      <rPr>
        <sz val="12"/>
        <rFont val="Tahoma"/>
        <family val="2"/>
      </rPr>
      <t xml:space="preserve"> </t>
    </r>
    <r>
      <rPr>
        <sz val="12"/>
        <rFont val="HY헤드라인M"/>
        <family val="1"/>
        <charset val="129"/>
      </rPr>
      <t>때</t>
    </r>
    <r>
      <rPr>
        <sz val="12"/>
        <rFont val="Tahoma"/>
        <family val="2"/>
      </rPr>
      <t xml:space="preserve"> CoC </t>
    </r>
    <r>
      <rPr>
        <sz val="12"/>
        <rFont val="HY헤드라인M"/>
        <family val="1"/>
        <charset val="129"/>
      </rPr>
      <t>입력</t>
    </r>
    <phoneticPr fontId="2" type="noConversion"/>
  </si>
  <si>
    <t xml:space="preserve"> CA-31685</t>
    <phoneticPr fontId="2" type="noConversion"/>
  </si>
  <si>
    <t>Shaeffler</t>
    <phoneticPr fontId="2" type="noConversion"/>
  </si>
  <si>
    <t xml:space="preserve"> CA-52525</t>
    <phoneticPr fontId="2" type="noConversion"/>
  </si>
  <si>
    <t xml:space="preserve"> CA-53505</t>
    <phoneticPr fontId="2" type="noConversion"/>
  </si>
  <si>
    <t>&gt;600 ppm NaNO2</t>
    <phoneticPr fontId="2" type="noConversion"/>
  </si>
  <si>
    <t>&gt;50 ppm Mo6 = &gt;50 ppb PTSA</t>
    <phoneticPr fontId="2" type="noConversion"/>
  </si>
  <si>
    <r>
      <t xml:space="preserve">Aluminum </t>
    </r>
    <r>
      <rPr>
        <sz val="10"/>
        <color theme="0" tint="-0.249977111117893"/>
        <rFont val="Tahoma"/>
        <family val="2"/>
      </rPr>
      <t>&gt;100 ppm Mo6 = 100 ppb PTSA</t>
    </r>
    <phoneticPr fontId="2" type="noConversion"/>
  </si>
  <si>
    <r>
      <t xml:space="preserve">Silicate </t>
    </r>
    <r>
      <rPr>
        <sz val="10"/>
        <color theme="0" tint="-0.249977111117893"/>
        <rFont val="Tahoma"/>
        <family val="2"/>
      </rPr>
      <t>&gt;50 ppm SiO2 = &gt;150 ppb PTSA</t>
    </r>
    <phoneticPr fontId="2" type="noConversion"/>
  </si>
  <si>
    <t xml:space="preserve"> CA-31155</t>
    <phoneticPr fontId="2" type="noConversion"/>
  </si>
  <si>
    <t xml:space="preserve"> CA-31855</t>
    <phoneticPr fontId="2" type="noConversion"/>
  </si>
  <si>
    <r>
      <t xml:space="preserve"> HP-55</t>
    </r>
    <r>
      <rPr>
        <sz val="12"/>
        <color theme="0" tint="-0.249977111117893"/>
        <rFont val="Tahoma"/>
        <family val="2"/>
      </rPr>
      <t>(15MT)</t>
    </r>
    <r>
      <rPr>
        <sz val="12"/>
        <rFont val="Tahoma"/>
        <family val="2"/>
      </rPr>
      <t xml:space="preserve"> or 25</t>
    </r>
    <r>
      <rPr>
        <sz val="12"/>
        <color theme="0" tint="-0.249977111117893"/>
        <rFont val="Tahoma"/>
        <family val="2"/>
      </rPr>
      <t>(22MT)</t>
    </r>
    <phoneticPr fontId="2" type="noConversion"/>
  </si>
  <si>
    <t xml:space="preserve"> TowerChlor 56 (단종)</t>
    <phoneticPr fontId="2" type="noConversion"/>
  </si>
  <si>
    <r>
      <t xml:space="preserve">Cooling Tower  Water Balance and Calculation </t>
    </r>
    <r>
      <rPr>
        <b/>
        <sz val="12"/>
        <color indexed="9"/>
        <rFont val="Tahoma"/>
        <family val="2"/>
      </rPr>
      <t>(20260410~)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</si>
</sst>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#,##0.0_ "/>
    <numFmt numFmtId="178" formatCode="#,##0_ "/>
    <numFmt numFmtId="179" formatCode="#,##0.00_ "/>
    <numFmt numFmtId="180" formatCode="#,##0.00_);[Red]\(#,##0.00\)"/>
    <numFmt numFmtId="181" formatCode="0.0_ "/>
    <numFmt numFmtId="182" formatCode="0.00_ "/>
    <numFmt numFmtId="183" formatCode="0_ "/>
    <numFmt numFmtId="184" formatCode="_-* #,##0.0_-;\-* #,##0.0_-;_-* &quot;-&quot;_-;_-@_-"/>
    <numFmt numFmtId="185" formatCode="0.00_);[Red]\(0.00\)"/>
    <numFmt numFmtId="186" formatCode="#,##0.0_);[Red]\(#,##0.0\)"/>
    <numFmt numFmtId="187" formatCode="_-&quot;$&quot;* #,##0_-;\-&quot;$&quot;* #,##0_-;_-&quot;$&quot;* &quot;-&quot;_-;_-@_-"/>
    <numFmt numFmtId="188" formatCode="_-&quot;$&quot;* #,##0.00_-;\-&quot;$&quot;* #,##0.00_-;_-&quot;$&quot;* &quot;-&quot;??_-;_-@_-"/>
    <numFmt numFmtId="189" formatCode="0_);[Red]\(0\)"/>
    <numFmt numFmtId="190" formatCode="_(* #,##0_);_(* \(#,##0\);_(* &quot;-&quot;_);_(@_)"/>
    <numFmt numFmtId="191" formatCode="_(* #,##0.0_);_(* \(#,##0.0\);_(* &quot;-&quot;_);_(@_)"/>
    <numFmt numFmtId="192" formatCode="_-* #,##0.000_-;\-* #,##0.000_-;_-* &quot;-&quot;_-;_-@_-"/>
    <numFmt numFmtId="193" formatCode="#,##0.000_);[Red]\(#,##0.000\)"/>
    <numFmt numFmtId="194" formatCode="#,##0.0000_);[Red]\(#,##0.0000\)"/>
    <numFmt numFmtId="195" formatCode="0.000_);[Red]\(0.000\)"/>
    <numFmt numFmtId="196" formatCode="0.000_ "/>
    <numFmt numFmtId="197" formatCode="#,##0.000_ "/>
    <numFmt numFmtId="198" formatCode="0.0_);[Red]\(0.0\)"/>
    <numFmt numFmtId="199" formatCode="#,##0.00\ [$L-818]_);[Red]\(#,##0.00\ [$L-818]\)"/>
    <numFmt numFmtId="200" formatCode="_-* #,##0.0_-;\-* #,##0.0_-;_-* &quot;-&quot;?_-;_-@_-"/>
  </numFmts>
  <fonts count="113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Tms Rmn"/>
      <family val="1"/>
    </font>
    <font>
      <sz val="10"/>
      <name val="Arial"/>
      <family val="2"/>
    </font>
    <font>
      <sz val="7"/>
      <name val="Small Fonts"/>
      <family val="2"/>
    </font>
    <font>
      <sz val="12"/>
      <name val="휴먼견출새내기체"/>
      <family val="1"/>
      <charset val="129"/>
    </font>
    <font>
      <sz val="12"/>
      <name val="Arial Rounded MT Bold"/>
      <family val="2"/>
    </font>
    <font>
      <sz val="12"/>
      <color indexed="48"/>
      <name val="Arial Rounded MT Bold"/>
      <family val="2"/>
    </font>
    <font>
      <sz val="12"/>
      <color indexed="10"/>
      <name val="휴먼견출새내기체"/>
      <family val="1"/>
      <charset val="129"/>
    </font>
    <font>
      <sz val="12"/>
      <color indexed="10"/>
      <name val="Arial Rounded MT Bold"/>
      <family val="2"/>
    </font>
    <font>
      <sz val="12"/>
      <color indexed="23"/>
      <name val="휴먼견출새내기체"/>
      <family val="1"/>
      <charset val="129"/>
    </font>
    <font>
      <sz val="12"/>
      <color indexed="48"/>
      <name val="휴먼견출새내기체"/>
      <family val="1"/>
      <charset val="129"/>
    </font>
    <font>
      <sz val="12"/>
      <color indexed="55"/>
      <name val="Arial Rounded MT Bold"/>
      <family val="2"/>
    </font>
    <font>
      <vertAlign val="superscript"/>
      <sz val="12"/>
      <name val="Arial Rounded MT Bold"/>
      <family val="2"/>
    </font>
    <font>
      <sz val="10"/>
      <name val="Arial Rounded MT Bold"/>
      <family val="2"/>
    </font>
    <font>
      <sz val="12"/>
      <color indexed="81"/>
      <name val="Arial"/>
      <family val="2"/>
    </font>
    <font>
      <sz val="10"/>
      <color indexed="23"/>
      <name val="Arial"/>
      <family val="2"/>
    </font>
    <font>
      <sz val="12"/>
      <color indexed="81"/>
      <name val="굴림"/>
      <family val="3"/>
      <charset val="129"/>
    </font>
    <font>
      <sz val="12"/>
      <color indexed="81"/>
      <name val="돋움"/>
      <family val="3"/>
      <charset val="129"/>
    </font>
    <font>
      <sz val="12"/>
      <color indexed="23"/>
      <name val="Arial"/>
      <family val="2"/>
    </font>
    <font>
      <sz val="16"/>
      <color indexed="9"/>
      <name val="Arial Rounded MT Bold"/>
      <family val="2"/>
    </font>
    <font>
      <vertAlign val="superscript"/>
      <sz val="12"/>
      <color indexed="81"/>
      <name val="Arial"/>
      <family val="2"/>
    </font>
    <font>
      <sz val="10"/>
      <color indexed="23"/>
      <name val="굴림"/>
      <family val="3"/>
      <charset val="129"/>
    </font>
    <font>
      <u/>
      <sz val="12"/>
      <color indexed="12"/>
      <name val="Arial MT"/>
      <family val="2"/>
    </font>
    <font>
      <sz val="12"/>
      <color rgb="FF00B050"/>
      <name val="Arial Rounded MT Bold"/>
      <family val="2"/>
    </font>
    <font>
      <sz val="12"/>
      <color rgb="FFFF0000"/>
      <name val="Arial Rounded MT Bold"/>
      <family val="2"/>
    </font>
    <font>
      <sz val="12"/>
      <color theme="0" tint="-0.249977111117893"/>
      <name val="Arial Rounded MT Bold"/>
      <family val="2"/>
    </font>
    <font>
      <sz val="10"/>
      <color theme="0" tint="-0.249977111117893"/>
      <name val="Arial Rounded MT Bold"/>
      <family val="2"/>
    </font>
    <font>
      <sz val="10"/>
      <color theme="0" tint="-0.249977111117893"/>
      <name val="휴먼견출새내기체"/>
      <family val="1"/>
      <charset val="129"/>
    </font>
    <font>
      <sz val="10"/>
      <color rgb="FFFF0000"/>
      <name val="Arial Rounded MT Bold"/>
      <family val="2"/>
    </font>
    <font>
      <sz val="10"/>
      <color indexed="81"/>
      <name val="Arial"/>
      <family val="2"/>
    </font>
    <font>
      <sz val="12"/>
      <color indexed="9"/>
      <name val="Arial Rounded MT Bold"/>
      <family val="2"/>
    </font>
    <font>
      <sz val="12"/>
      <color theme="0" tint="-0.499984740745262"/>
      <name val="Arial Rounded MT Bold"/>
      <family val="2"/>
    </font>
    <font>
      <sz val="12"/>
      <color theme="0" tint="-0.499984740745262"/>
      <name val="휴먼견출새내기체"/>
      <family val="1"/>
      <charset val="129"/>
    </font>
    <font>
      <sz val="10"/>
      <color theme="0" tint="-0.499984740745262"/>
      <name val="Arial Rounded MT Bold"/>
      <family val="2"/>
    </font>
    <font>
      <sz val="9"/>
      <color indexed="81"/>
      <name val="Tahoma"/>
      <family val="2"/>
    </font>
    <font>
      <sz val="10"/>
      <color indexed="22"/>
      <name val="Arial Rounded MT Bold"/>
      <family val="2"/>
    </font>
    <font>
      <sz val="10"/>
      <color indexed="23"/>
      <name val="돋움"/>
      <family val="3"/>
      <charset val="129"/>
    </font>
    <font>
      <vertAlign val="superscript"/>
      <sz val="10"/>
      <color theme="0" tint="-0.249977111117893"/>
      <name val="Arial Rounded MT Bold"/>
      <family val="2"/>
    </font>
    <font>
      <sz val="12"/>
      <name val="돋움"/>
      <family val="3"/>
      <charset val="129"/>
    </font>
    <font>
      <sz val="10"/>
      <color indexed="81"/>
      <name val="굴림"/>
      <family val="3"/>
      <charset val="129"/>
    </font>
    <font>
      <sz val="10"/>
      <color indexed="81"/>
      <name val="Arial Unicode MS"/>
      <family val="3"/>
      <charset val="129"/>
    </font>
    <font>
      <sz val="12"/>
      <color theme="1"/>
      <name val="Arial Rounded MT Bold"/>
      <family val="2"/>
    </font>
    <font>
      <b/>
      <sz val="10"/>
      <color indexed="81"/>
      <name val="Arial"/>
      <family val="2"/>
    </font>
    <font>
      <sz val="11"/>
      <name val="Arial"/>
      <family val="2"/>
    </font>
    <font>
      <b/>
      <sz val="11"/>
      <color indexed="48"/>
      <name val="Arial"/>
      <family val="2"/>
    </font>
    <font>
      <b/>
      <sz val="11"/>
      <color indexed="48"/>
      <name val="굴림"/>
      <family val="3"/>
      <charset val="129"/>
    </font>
    <font>
      <b/>
      <sz val="11"/>
      <color indexed="10"/>
      <name val="Arial"/>
      <family val="2"/>
    </font>
    <font>
      <b/>
      <sz val="11"/>
      <color indexed="10"/>
      <name val="굴림"/>
      <family val="3"/>
      <charset val="129"/>
    </font>
    <font>
      <b/>
      <sz val="11"/>
      <name val="Arial"/>
      <family val="2"/>
    </font>
    <font>
      <sz val="11"/>
      <name val="굴림"/>
      <family val="3"/>
      <charset val="129"/>
    </font>
    <font>
      <b/>
      <sz val="13"/>
      <name val="Arial"/>
      <family val="2"/>
    </font>
    <font>
      <b/>
      <sz val="13"/>
      <name val="굴림"/>
      <family val="3"/>
      <charset val="129"/>
    </font>
    <font>
      <sz val="12"/>
      <color rgb="FF3366FF"/>
      <name val="Arial Rounded MT Bold"/>
      <family val="2"/>
    </font>
    <font>
      <sz val="10"/>
      <color indexed="81"/>
      <name val="Tahoma"/>
      <family val="2"/>
    </font>
    <font>
      <b/>
      <sz val="12"/>
      <name val="Arial"/>
      <family val="2"/>
    </font>
    <font>
      <b/>
      <sz val="10"/>
      <color indexed="23"/>
      <name val="Arial"/>
      <family val="2"/>
    </font>
    <font>
      <b/>
      <sz val="10"/>
      <color theme="0" tint="-0.499984740745262"/>
      <name val="맑은 고딕"/>
      <family val="3"/>
      <charset val="129"/>
      <scheme val="major"/>
    </font>
    <font>
      <b/>
      <sz val="10"/>
      <color theme="0" tint="-0.499984740745262"/>
      <name val="Tahoma"/>
      <family val="2"/>
    </font>
    <font>
      <sz val="10"/>
      <color indexed="81"/>
      <name val="돋움"/>
      <family val="3"/>
      <charset val="129"/>
    </font>
    <font>
      <sz val="12"/>
      <name val="HY헤드라인M"/>
      <family val="1"/>
      <charset val="129"/>
    </font>
    <font>
      <sz val="10"/>
      <color theme="0" tint="-0.249977111117893"/>
      <name val="HY헤드라인M"/>
      <family val="1"/>
      <charset val="129"/>
    </font>
    <font>
      <sz val="12"/>
      <color indexed="48"/>
      <name val="HY헤드라인M"/>
      <family val="1"/>
      <charset val="129"/>
    </font>
    <font>
      <sz val="12"/>
      <color indexed="10"/>
      <name val="HY헤드라인M"/>
      <family val="1"/>
      <charset val="129"/>
    </font>
    <font>
      <sz val="12"/>
      <color indexed="23"/>
      <name val="HY헤드라인M"/>
      <family val="1"/>
      <charset val="129"/>
    </font>
    <font>
      <b/>
      <sz val="10"/>
      <color theme="0" tint="-0.499984740745262"/>
      <name val="HY헤드라인M"/>
      <family val="1"/>
      <charset val="129"/>
    </font>
    <font>
      <sz val="12"/>
      <color theme="0" tint="-0.499984740745262"/>
      <name val="HY헤드라인M"/>
      <family val="1"/>
      <charset val="129"/>
    </font>
    <font>
      <sz val="12"/>
      <name val="Tahoma"/>
      <family val="2"/>
    </font>
    <font>
      <sz val="10"/>
      <color theme="0" tint="-0.249977111117893"/>
      <name val="Tahoma"/>
      <family val="2"/>
    </font>
    <font>
      <sz val="12"/>
      <color indexed="48"/>
      <name val="Tahoma"/>
      <family val="2"/>
    </font>
    <font>
      <sz val="12"/>
      <color indexed="10"/>
      <name val="Tahoma"/>
      <family val="2"/>
    </font>
    <font>
      <sz val="12"/>
      <color rgb="FF3366FF"/>
      <name val="Tahoma"/>
      <family val="2"/>
    </font>
    <font>
      <sz val="12"/>
      <color indexed="55"/>
      <name val="Tahoma"/>
      <family val="2"/>
    </font>
    <font>
      <vertAlign val="superscript"/>
      <sz val="12"/>
      <name val="Tahoma"/>
      <family val="2"/>
    </font>
    <font>
      <sz val="10"/>
      <color indexed="22"/>
      <name val="Tahoma"/>
      <family val="2"/>
    </font>
    <font>
      <sz val="10"/>
      <name val="Tahoma"/>
      <family val="2"/>
    </font>
    <font>
      <b/>
      <sz val="12"/>
      <color rgb="FFFF0000"/>
      <name val="Tahoma"/>
      <family val="2"/>
    </font>
    <font>
      <sz val="12"/>
      <color theme="0" tint="-0.249977111117893"/>
      <name val="Tahoma"/>
      <family val="2"/>
    </font>
    <font>
      <sz val="12"/>
      <color theme="1"/>
      <name val="Tahoma"/>
      <family val="2"/>
    </font>
    <font>
      <sz val="12"/>
      <color rgb="FFFF0000"/>
      <name val="Tahoma"/>
      <family val="2"/>
    </font>
    <font>
      <b/>
      <sz val="12"/>
      <name val="Tahoma"/>
      <family val="2"/>
    </font>
    <font>
      <vertAlign val="superscript"/>
      <sz val="10"/>
      <color theme="0" tint="-0.249977111117893"/>
      <name val="Tahoma"/>
      <family val="2"/>
    </font>
    <font>
      <sz val="12"/>
      <color rgb="FF00B050"/>
      <name val="Tahoma"/>
      <family val="2"/>
    </font>
    <font>
      <sz val="10"/>
      <color rgb="FFFF0000"/>
      <name val="Tahoma"/>
      <family val="2"/>
    </font>
    <font>
      <sz val="12"/>
      <color theme="0" tint="-0.499984740745262"/>
      <name val="Tahoma"/>
      <family val="2"/>
    </font>
    <font>
      <sz val="10"/>
      <color theme="0" tint="-0.499984740745262"/>
      <name val="Tahoma"/>
      <family val="2"/>
    </font>
    <font>
      <sz val="12"/>
      <name val="Tahoma"/>
      <family val="1"/>
      <charset val="129"/>
    </font>
    <font>
      <b/>
      <sz val="12"/>
      <color theme="0"/>
      <name val="Tahoma"/>
      <family val="2"/>
    </font>
    <font>
      <sz val="12"/>
      <color indexed="81"/>
      <name val="Tahoma"/>
      <family val="2"/>
    </font>
    <font>
      <strike/>
      <sz val="12"/>
      <color theme="0" tint="-0.249977111117893"/>
      <name val="맑은 고딕"/>
      <family val="3"/>
      <charset val="129"/>
    </font>
    <font>
      <b/>
      <strike/>
      <sz val="12"/>
      <color theme="0" tint="-0.249977111117893"/>
      <name val="맑은 고딕"/>
      <family val="3"/>
      <charset val="129"/>
    </font>
    <font>
      <b/>
      <strike/>
      <sz val="10"/>
      <color theme="0" tint="-0.249977111117893"/>
      <name val="맑은 고딕"/>
      <family val="3"/>
      <charset val="129"/>
    </font>
    <font>
      <strike/>
      <sz val="10"/>
      <color theme="0" tint="-0.249977111117893"/>
      <name val="맑은 고딕"/>
      <family val="3"/>
      <charset val="129"/>
    </font>
    <font>
      <b/>
      <sz val="16"/>
      <color indexed="9"/>
      <name val="Tahoma"/>
      <family val="2"/>
    </font>
    <font>
      <b/>
      <sz val="12"/>
      <color indexed="9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7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3366FF"/>
      </left>
      <right/>
      <top style="medium">
        <color rgb="FF3366FF"/>
      </top>
      <bottom/>
      <diagonal/>
    </border>
    <border>
      <left/>
      <right/>
      <top style="medium">
        <color rgb="FF3366FF"/>
      </top>
      <bottom/>
      <diagonal/>
    </border>
    <border>
      <left/>
      <right style="medium">
        <color rgb="FF3366FF"/>
      </right>
      <top style="medium">
        <color rgb="FF3366FF"/>
      </top>
      <bottom/>
      <diagonal/>
    </border>
    <border>
      <left style="medium">
        <color rgb="FF3366FF"/>
      </left>
      <right/>
      <top/>
      <bottom/>
      <diagonal/>
    </border>
    <border>
      <left/>
      <right style="medium">
        <color rgb="FF3366FF"/>
      </right>
      <top/>
      <bottom/>
      <diagonal/>
    </border>
    <border>
      <left style="medium">
        <color rgb="FF3366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3366FF"/>
      </right>
      <top style="thin">
        <color indexed="64"/>
      </top>
      <bottom style="thin">
        <color indexed="64"/>
      </bottom>
      <diagonal/>
    </border>
    <border>
      <left style="medium">
        <color rgb="FF3366FF"/>
      </left>
      <right/>
      <top style="thin">
        <color indexed="64"/>
      </top>
      <bottom style="thin">
        <color indexed="64"/>
      </bottom>
      <diagonal/>
    </border>
    <border>
      <left style="medium">
        <color rgb="FF3366FF"/>
      </left>
      <right style="thin">
        <color indexed="64"/>
      </right>
      <top/>
      <bottom/>
      <diagonal/>
    </border>
    <border>
      <left style="medium">
        <color rgb="FF3366FF"/>
      </left>
      <right style="thin">
        <color indexed="64"/>
      </right>
      <top style="thin">
        <color indexed="64"/>
      </top>
      <bottom style="medium">
        <color rgb="FF3366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3366FF"/>
      </bottom>
      <diagonal/>
    </border>
    <border>
      <left style="thin">
        <color indexed="64"/>
      </left>
      <right/>
      <top style="thin">
        <color indexed="64"/>
      </top>
      <bottom style="medium">
        <color rgb="FF3366FF"/>
      </bottom>
      <diagonal/>
    </border>
    <border>
      <left/>
      <right style="thin">
        <color indexed="64"/>
      </right>
      <top style="thin">
        <color indexed="64"/>
      </top>
      <bottom style="medium">
        <color rgb="FF3366FF"/>
      </bottom>
      <diagonal/>
    </border>
    <border>
      <left/>
      <right/>
      <top/>
      <bottom style="medium">
        <color rgb="FF3366FF"/>
      </bottom>
      <diagonal/>
    </border>
    <border>
      <left/>
      <right/>
      <top style="thin">
        <color indexed="64"/>
      </top>
      <bottom style="medium">
        <color rgb="FF3366FF"/>
      </bottom>
      <diagonal/>
    </border>
    <border>
      <left/>
      <right style="medium">
        <color rgb="FF3366FF"/>
      </right>
      <top style="thin">
        <color indexed="64"/>
      </top>
      <bottom style="medium">
        <color rgb="FF3366FF"/>
      </bottom>
      <diagonal/>
    </border>
    <border>
      <left style="medium">
        <color rgb="FF3366FF"/>
      </left>
      <right style="thin">
        <color indexed="64"/>
      </right>
      <top style="medium">
        <color rgb="FF3366FF"/>
      </top>
      <bottom/>
      <diagonal/>
    </border>
    <border>
      <left style="thin">
        <color indexed="64"/>
      </left>
      <right style="thin">
        <color indexed="64"/>
      </right>
      <top style="medium">
        <color rgb="FF3366FF"/>
      </top>
      <bottom style="thin">
        <color indexed="64"/>
      </bottom>
      <diagonal/>
    </border>
    <border>
      <left/>
      <right style="thin">
        <color indexed="64"/>
      </right>
      <top style="medium">
        <color rgb="FF3366FF"/>
      </top>
      <bottom style="thin">
        <color indexed="64"/>
      </bottom>
      <diagonal/>
    </border>
    <border>
      <left style="thin">
        <color indexed="64"/>
      </left>
      <right/>
      <top style="medium">
        <color rgb="FF3366FF"/>
      </top>
      <bottom style="thin">
        <color indexed="64"/>
      </bottom>
      <diagonal/>
    </border>
    <border>
      <left/>
      <right/>
      <top style="medium">
        <color rgb="FF3366FF"/>
      </top>
      <bottom style="thin">
        <color indexed="64"/>
      </bottom>
      <diagonal/>
    </border>
    <border>
      <left/>
      <right style="medium">
        <color rgb="FF3366FF"/>
      </right>
      <top style="medium">
        <color rgb="FF3366FF"/>
      </top>
      <bottom style="thin">
        <color indexed="64"/>
      </bottom>
      <diagonal/>
    </border>
    <border>
      <left style="medium">
        <color rgb="FF3366FF"/>
      </left>
      <right style="thin">
        <color indexed="64"/>
      </right>
      <top/>
      <bottom style="medium">
        <color rgb="FF3366FF"/>
      </bottom>
      <diagonal/>
    </border>
    <border>
      <left style="thin">
        <color indexed="64"/>
      </left>
      <right style="thin">
        <color indexed="64"/>
      </right>
      <top/>
      <bottom style="medium">
        <color rgb="FF3366FF"/>
      </bottom>
      <diagonal/>
    </border>
    <border>
      <left style="medium">
        <color rgb="FF3366FF"/>
      </left>
      <right style="thin">
        <color indexed="64"/>
      </right>
      <top style="medium">
        <color rgb="FF3366FF"/>
      </top>
      <bottom style="thin">
        <color indexed="64"/>
      </bottom>
      <diagonal/>
    </border>
    <border>
      <left style="medium">
        <color rgb="FF3366FF"/>
      </left>
      <right/>
      <top style="thin">
        <color indexed="64"/>
      </top>
      <bottom style="medium">
        <color rgb="FF3366FF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3366FF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rgb="FF3366FF"/>
      </right>
      <top/>
      <bottom style="thin">
        <color indexed="64"/>
      </bottom>
      <diagonal/>
    </border>
  </borders>
  <cellStyleXfs count="57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37" fontId="22" fillId="0" borderId="0"/>
    <xf numFmtId="0" fontId="21" fillId="0" borderId="0"/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3" borderId="3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90" fontId="21" fillId="0" borderId="0" applyFont="0" applyFill="0" applyBorder="0" applyAlignment="0" applyProtection="0"/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7" borderId="1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20" borderId="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0" fontId="21" fillId="0" borderId="0" applyFont="0" applyFill="0" applyBorder="0" applyAlignment="0" applyProtection="0"/>
  </cellStyleXfs>
  <cellXfs count="682">
    <xf numFmtId="0" fontId="0" fillId="0" borderId="0" xfId="0">
      <alignment vertical="center"/>
    </xf>
    <xf numFmtId="0" fontId="23" fillId="24" borderId="10" xfId="0" applyFont="1" applyFill="1" applyBorder="1" applyAlignment="1">
      <alignment horizontal="center" vertical="center"/>
    </xf>
    <xf numFmtId="0" fontId="24" fillId="0" borderId="0" xfId="0" applyFont="1">
      <alignment vertical="center"/>
    </xf>
    <xf numFmtId="178" fontId="25" fillId="25" borderId="10" xfId="0" applyNumberFormat="1" applyFont="1" applyFill="1" applyBorder="1">
      <alignment vertical="center"/>
    </xf>
    <xf numFmtId="0" fontId="24" fillId="0" borderId="10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181" fontId="24" fillId="0" borderId="10" xfId="0" applyNumberFormat="1" applyFont="1" applyBorder="1">
      <alignment vertical="center"/>
    </xf>
    <xf numFmtId="176" fontId="25" fillId="25" borderId="10" xfId="0" applyNumberFormat="1" applyFont="1" applyFill="1" applyBorder="1" applyAlignment="1">
      <alignment horizontal="center" vertical="center"/>
    </xf>
    <xf numFmtId="176" fontId="24" fillId="0" borderId="10" xfId="0" applyNumberFormat="1" applyFont="1" applyBorder="1" applyAlignment="1">
      <alignment horizontal="center" vertical="center"/>
    </xf>
    <xf numFmtId="176" fontId="30" fillId="0" borderId="10" xfId="0" applyNumberFormat="1" applyFont="1" applyBorder="1" applyAlignment="1">
      <alignment horizontal="center" vertical="center"/>
    </xf>
    <xf numFmtId="182" fontId="24" fillId="0" borderId="10" xfId="0" applyNumberFormat="1" applyFont="1" applyBorder="1">
      <alignment vertical="center"/>
    </xf>
    <xf numFmtId="177" fontId="27" fillId="25" borderId="10" xfId="0" applyNumberFormat="1" applyFont="1" applyFill="1" applyBorder="1">
      <alignment vertical="center"/>
    </xf>
    <xf numFmtId="186" fontId="27" fillId="25" borderId="10" xfId="0" applyNumberFormat="1" applyFont="1" applyFill="1" applyBorder="1">
      <alignment vertical="center"/>
    </xf>
    <xf numFmtId="178" fontId="27" fillId="25" borderId="10" xfId="0" applyNumberFormat="1" applyFont="1" applyFill="1" applyBorder="1">
      <alignment vertical="center"/>
    </xf>
    <xf numFmtId="185" fontId="24" fillId="0" borderId="10" xfId="0" applyNumberFormat="1" applyFont="1" applyBorder="1">
      <alignment vertical="center"/>
    </xf>
    <xf numFmtId="0" fontId="24" fillId="24" borderId="10" xfId="0" applyFont="1" applyFill="1" applyBorder="1" applyAlignment="1">
      <alignment horizontal="center" vertical="center"/>
    </xf>
    <xf numFmtId="179" fontId="25" fillId="25" borderId="10" xfId="0" applyNumberFormat="1" applyFont="1" applyFill="1" applyBorder="1" applyAlignment="1">
      <alignment horizontal="center" vertical="center"/>
    </xf>
    <xf numFmtId="180" fontId="24" fillId="0" borderId="10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8" fontId="25" fillId="25" borderId="10" xfId="0" applyNumberFormat="1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177" fontId="24" fillId="0" borderId="10" xfId="0" applyNumberFormat="1" applyFont="1" applyBorder="1">
      <alignment vertical="center"/>
    </xf>
    <xf numFmtId="177" fontId="24" fillId="0" borderId="0" xfId="0" applyNumberFormat="1" applyFont="1">
      <alignment vertical="center"/>
    </xf>
    <xf numFmtId="176" fontId="24" fillId="26" borderId="10" xfId="0" applyNumberFormat="1" applyFont="1" applyFill="1" applyBorder="1" applyAlignment="1">
      <alignment horizontal="center" vertical="center"/>
    </xf>
    <xf numFmtId="178" fontId="24" fillId="26" borderId="10" xfId="0" applyNumberFormat="1" applyFont="1" applyFill="1" applyBorder="1" applyAlignment="1">
      <alignment horizontal="center" vertical="center"/>
    </xf>
    <xf numFmtId="180" fontId="24" fillId="0" borderId="10" xfId="0" applyNumberFormat="1" applyFont="1" applyBorder="1">
      <alignment vertical="center"/>
    </xf>
    <xf numFmtId="176" fontId="24" fillId="0" borderId="10" xfId="0" applyNumberFormat="1" applyFont="1" applyBorder="1">
      <alignment vertical="center"/>
    </xf>
    <xf numFmtId="41" fontId="24" fillId="0" borderId="10" xfId="41" applyFont="1" applyFill="1" applyBorder="1">
      <alignment vertical="center"/>
    </xf>
    <xf numFmtId="180" fontId="24" fillId="26" borderId="10" xfId="0" applyNumberFormat="1" applyFont="1" applyFill="1" applyBorder="1" applyAlignment="1">
      <alignment horizontal="center" vertical="center"/>
    </xf>
    <xf numFmtId="0" fontId="24" fillId="0" borderId="10" xfId="0" applyFont="1" applyBorder="1">
      <alignment vertical="center"/>
    </xf>
    <xf numFmtId="41" fontId="24" fillId="0" borderId="0" xfId="41" applyFont="1" applyBorder="1">
      <alignment vertical="center"/>
    </xf>
    <xf numFmtId="41" fontId="27" fillId="0" borderId="0" xfId="41" applyFont="1" applyBorder="1" applyAlignment="1">
      <alignment vertical="center"/>
    </xf>
    <xf numFmtId="0" fontId="24" fillId="0" borderId="0" xfId="0" quotePrefix="1" applyFont="1">
      <alignment vertical="center"/>
    </xf>
    <xf numFmtId="0" fontId="24" fillId="0" borderId="0" xfId="0" applyFont="1" applyAlignment="1">
      <alignment horizontal="justify" vertical="center"/>
    </xf>
    <xf numFmtId="41" fontId="24" fillId="0" borderId="0" xfId="41" applyFont="1" applyBorder="1" applyAlignment="1">
      <alignment vertical="center"/>
    </xf>
    <xf numFmtId="189" fontId="24" fillId="0" borderId="0" xfId="0" applyNumberFormat="1" applyFont="1">
      <alignment vertical="center"/>
    </xf>
    <xf numFmtId="0" fontId="25" fillId="25" borderId="10" xfId="0" applyFont="1" applyFill="1" applyBorder="1" applyAlignment="1">
      <alignment horizontal="center" vertical="center"/>
    </xf>
    <xf numFmtId="178" fontId="24" fillId="0" borderId="0" xfId="0" applyNumberFormat="1" applyFont="1" applyAlignment="1">
      <alignment horizontal="center" vertical="center"/>
    </xf>
    <xf numFmtId="41" fontId="24" fillId="0" borderId="0" xfId="41" applyFont="1" applyFill="1" applyBorder="1" applyAlignment="1">
      <alignment vertical="center"/>
    </xf>
    <xf numFmtId="0" fontId="24" fillId="0" borderId="13" xfId="0" applyFont="1" applyBorder="1" applyAlignment="1">
      <alignment horizontal="center" vertical="center"/>
    </xf>
    <xf numFmtId="176" fontId="24" fillId="0" borderId="13" xfId="0" applyNumberFormat="1" applyFont="1" applyBorder="1" applyAlignment="1">
      <alignment horizontal="center" vertical="center"/>
    </xf>
    <xf numFmtId="180" fontId="24" fillId="0" borderId="13" xfId="0" applyNumberFormat="1" applyFont="1" applyBorder="1" applyAlignment="1">
      <alignment horizontal="center" vertical="center"/>
    </xf>
    <xf numFmtId="178" fontId="24" fillId="0" borderId="13" xfId="0" applyNumberFormat="1" applyFont="1" applyBorder="1" applyAlignment="1">
      <alignment horizontal="center" vertical="center"/>
    </xf>
    <xf numFmtId="180" fontId="24" fillId="0" borderId="10" xfId="0" quotePrefix="1" applyNumberFormat="1" applyFont="1" applyBorder="1" applyAlignment="1">
      <alignment horizontal="center" vertical="center"/>
    </xf>
    <xf numFmtId="0" fontId="24" fillId="0" borderId="0" xfId="55" applyFont="1">
      <alignment vertical="center"/>
    </xf>
    <xf numFmtId="41" fontId="24" fillId="0" borderId="10" xfId="42" applyFont="1" applyFill="1" applyBorder="1">
      <alignment vertical="center"/>
    </xf>
    <xf numFmtId="41" fontId="24" fillId="0" borderId="0" xfId="42" applyFont="1" applyFill="1" applyBorder="1" applyAlignment="1">
      <alignment vertical="center"/>
    </xf>
    <xf numFmtId="0" fontId="24" fillId="26" borderId="10" xfId="55" applyFont="1" applyFill="1" applyBorder="1" applyAlignment="1">
      <alignment horizontal="center" vertical="center"/>
    </xf>
    <xf numFmtId="178" fontId="24" fillId="26" borderId="10" xfId="55" applyNumberFormat="1" applyFont="1" applyFill="1" applyBorder="1" applyAlignment="1">
      <alignment horizontal="center" vertical="center"/>
    </xf>
    <xf numFmtId="178" fontId="24" fillId="0" borderId="0" xfId="55" applyNumberFormat="1" applyFont="1" applyAlignment="1">
      <alignment horizontal="center" vertical="center"/>
    </xf>
    <xf numFmtId="180" fontId="24" fillId="27" borderId="10" xfId="55" applyNumberFormat="1" applyFont="1" applyFill="1" applyBorder="1">
      <alignment vertical="center"/>
    </xf>
    <xf numFmtId="186" fontId="24" fillId="27" borderId="10" xfId="55" applyNumberFormat="1" applyFont="1" applyFill="1" applyBorder="1">
      <alignment vertical="center"/>
    </xf>
    <xf numFmtId="182" fontId="24" fillId="27" borderId="10" xfId="55" applyNumberFormat="1" applyFont="1" applyFill="1" applyBorder="1">
      <alignment vertical="center"/>
    </xf>
    <xf numFmtId="191" fontId="24" fillId="27" borderId="10" xfId="43" applyNumberFormat="1" applyFont="1" applyFill="1" applyBorder="1" applyAlignment="1">
      <alignment vertical="center"/>
    </xf>
    <xf numFmtId="192" fontId="24" fillId="0" borderId="0" xfId="41" applyNumberFormat="1" applyFont="1">
      <alignment vertical="center"/>
    </xf>
    <xf numFmtId="184" fontId="24" fillId="0" borderId="10" xfId="41" applyNumberFormat="1" applyFont="1" applyBorder="1">
      <alignment vertical="center"/>
    </xf>
    <xf numFmtId="182" fontId="44" fillId="0" borderId="10" xfId="0" applyNumberFormat="1" applyFont="1" applyBorder="1">
      <alignment vertical="center"/>
    </xf>
    <xf numFmtId="41" fontId="44" fillId="0" borderId="0" xfId="41" applyFont="1" applyFill="1" applyBorder="1" applyAlignment="1">
      <alignment vertical="center"/>
    </xf>
    <xf numFmtId="184" fontId="44" fillId="0" borderId="10" xfId="41" applyNumberFormat="1" applyFont="1" applyBorder="1">
      <alignment vertical="center"/>
    </xf>
    <xf numFmtId="177" fontId="25" fillId="29" borderId="10" xfId="0" applyNumberFormat="1" applyFont="1" applyFill="1" applyBorder="1">
      <alignment vertical="center"/>
    </xf>
    <xf numFmtId="177" fontId="45" fillId="0" borderId="0" xfId="0" applyNumberFormat="1" applyFont="1">
      <alignment vertical="center"/>
    </xf>
    <xf numFmtId="183" fontId="45" fillId="0" borderId="0" xfId="0" applyNumberFormat="1" applyFont="1">
      <alignment vertical="center"/>
    </xf>
    <xf numFmtId="0" fontId="45" fillId="0" borderId="0" xfId="0" applyFont="1">
      <alignment vertical="center"/>
    </xf>
    <xf numFmtId="0" fontId="45" fillId="0" borderId="0" xfId="55" applyFont="1">
      <alignment vertical="center"/>
    </xf>
    <xf numFmtId="180" fontId="44" fillId="0" borderId="10" xfId="0" applyNumberFormat="1" applyFont="1" applyBorder="1">
      <alignment vertical="center"/>
    </xf>
    <xf numFmtId="193" fontId="44" fillId="0" borderId="10" xfId="0" applyNumberFormat="1" applyFont="1" applyBorder="1">
      <alignment vertical="center"/>
    </xf>
    <xf numFmtId="186" fontId="44" fillId="0" borderId="10" xfId="0" applyNumberFormat="1" applyFont="1" applyBorder="1">
      <alignment vertical="center"/>
    </xf>
    <xf numFmtId="41" fontId="44" fillId="0" borderId="10" xfId="41" applyFont="1" applyFill="1" applyBorder="1">
      <alignment vertical="center"/>
    </xf>
    <xf numFmtId="194" fontId="44" fillId="0" borderId="10" xfId="0" applyNumberFormat="1" applyFont="1" applyBorder="1">
      <alignment vertical="center"/>
    </xf>
    <xf numFmtId="0" fontId="24" fillId="26" borderId="10" xfId="0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192" fontId="45" fillId="0" borderId="0" xfId="41" applyNumberFormat="1" applyFont="1">
      <alignment vertical="center"/>
    </xf>
    <xf numFmtId="192" fontId="45" fillId="0" borderId="0" xfId="0" applyNumberFormat="1" applyFont="1">
      <alignment vertical="center"/>
    </xf>
    <xf numFmtId="182" fontId="24" fillId="0" borderId="10" xfId="55" applyNumberFormat="1" applyFont="1" applyBorder="1">
      <alignment vertical="center"/>
    </xf>
    <xf numFmtId="184" fontId="24" fillId="0" borderId="10" xfId="42" applyNumberFormat="1" applyFont="1" applyFill="1" applyBorder="1">
      <alignment vertical="center"/>
    </xf>
    <xf numFmtId="176" fontId="44" fillId="0" borderId="10" xfId="0" applyNumberFormat="1" applyFont="1" applyBorder="1">
      <alignment vertical="center"/>
    </xf>
    <xf numFmtId="182" fontId="43" fillId="0" borderId="10" xfId="0" applyNumberFormat="1" applyFont="1" applyBorder="1">
      <alignment vertical="center"/>
    </xf>
    <xf numFmtId="184" fontId="43" fillId="0" borderId="10" xfId="41" applyNumberFormat="1" applyFont="1" applyBorder="1">
      <alignment vertical="center"/>
    </xf>
    <xf numFmtId="0" fontId="54" fillId="0" borderId="0" xfId="0" quotePrefix="1" applyFont="1">
      <alignment vertical="center"/>
    </xf>
    <xf numFmtId="0" fontId="54" fillId="0" borderId="0" xfId="0" applyFont="1">
      <alignment vertical="center"/>
    </xf>
    <xf numFmtId="41" fontId="42" fillId="0" borderId="0" xfId="41" applyFont="1" applyFill="1" applyBorder="1" applyAlignment="1">
      <alignment vertical="center"/>
    </xf>
    <xf numFmtId="41" fontId="43" fillId="0" borderId="10" xfId="41" quotePrefix="1" applyFont="1" applyFill="1" applyBorder="1" applyAlignment="1">
      <alignment vertical="center"/>
    </xf>
    <xf numFmtId="43" fontId="43" fillId="0" borderId="10" xfId="55" applyNumberFormat="1" applyFont="1" applyBorder="1">
      <alignment vertical="center"/>
    </xf>
    <xf numFmtId="41" fontId="43" fillId="0" borderId="10" xfId="42" applyFont="1" applyFill="1" applyBorder="1">
      <alignment vertical="center"/>
    </xf>
    <xf numFmtId="41" fontId="43" fillId="0" borderId="0" xfId="42" applyFont="1" applyFill="1" applyBorder="1" applyAlignment="1">
      <alignment vertical="center"/>
    </xf>
    <xf numFmtId="0" fontId="47" fillId="0" borderId="0" xfId="55" applyFont="1">
      <alignment vertical="center"/>
    </xf>
    <xf numFmtId="196" fontId="43" fillId="0" borderId="10" xfId="55" applyNumberFormat="1" applyFont="1" applyBorder="1">
      <alignment vertical="center"/>
    </xf>
    <xf numFmtId="191" fontId="43" fillId="0" borderId="10" xfId="43" quotePrefix="1" applyNumberFormat="1" applyFont="1" applyFill="1" applyBorder="1" applyAlignment="1">
      <alignment vertical="center"/>
    </xf>
    <xf numFmtId="182" fontId="43" fillId="0" borderId="10" xfId="55" applyNumberFormat="1" applyFont="1" applyBorder="1">
      <alignment vertical="center"/>
    </xf>
    <xf numFmtId="191" fontId="43" fillId="0" borderId="10" xfId="43" applyNumberFormat="1" applyFont="1" applyFill="1" applyBorder="1" applyAlignment="1">
      <alignment vertical="center"/>
    </xf>
    <xf numFmtId="0" fontId="57" fillId="0" borderId="0" xfId="0" applyFont="1">
      <alignment vertical="center"/>
    </xf>
    <xf numFmtId="185" fontId="24" fillId="0" borderId="0" xfId="0" applyNumberFormat="1" applyFont="1">
      <alignment vertical="center"/>
    </xf>
    <xf numFmtId="182" fontId="24" fillId="0" borderId="0" xfId="0" applyNumberFormat="1" applyFont="1">
      <alignment vertical="center"/>
    </xf>
    <xf numFmtId="43" fontId="24" fillId="0" borderId="10" xfId="41" applyNumberFormat="1" applyFont="1" applyBorder="1">
      <alignment vertical="center"/>
    </xf>
    <xf numFmtId="192" fontId="24" fillId="0" borderId="10" xfId="41" quotePrefix="1" applyNumberFormat="1" applyFont="1" applyFill="1" applyBorder="1" applyAlignment="1">
      <alignment vertical="center"/>
    </xf>
    <xf numFmtId="183" fontId="24" fillId="0" borderId="10" xfId="0" applyNumberFormat="1" applyFont="1" applyBorder="1">
      <alignment vertical="center"/>
    </xf>
    <xf numFmtId="41" fontId="24" fillId="0" borderId="10" xfId="41" applyFont="1" applyBorder="1">
      <alignment vertical="center"/>
    </xf>
    <xf numFmtId="182" fontId="24" fillId="0" borderId="10" xfId="0" applyNumberFormat="1" applyFont="1" applyBorder="1" applyAlignment="1">
      <alignment horizontal="right" vertical="center"/>
    </xf>
    <xf numFmtId="41" fontId="43" fillId="0" borderId="0" xfId="41" applyFont="1" applyFill="1" applyBorder="1" applyAlignment="1">
      <alignment vertical="center"/>
    </xf>
    <xf numFmtId="41" fontId="43" fillId="29" borderId="10" xfId="41" applyFont="1" applyFill="1" applyBorder="1">
      <alignment vertical="center"/>
    </xf>
    <xf numFmtId="197" fontId="45" fillId="0" borderId="0" xfId="0" applyNumberFormat="1" applyFont="1">
      <alignment vertical="center"/>
    </xf>
    <xf numFmtId="180" fontId="60" fillId="0" borderId="10" xfId="0" applyNumberFormat="1" applyFont="1" applyBorder="1">
      <alignment vertical="center"/>
    </xf>
    <xf numFmtId="176" fontId="60" fillId="0" borderId="10" xfId="0" applyNumberFormat="1" applyFont="1" applyBorder="1">
      <alignment vertical="center"/>
    </xf>
    <xf numFmtId="41" fontId="60" fillId="0" borderId="10" xfId="41" applyFont="1" applyFill="1" applyBorder="1">
      <alignment vertical="center"/>
    </xf>
    <xf numFmtId="0" fontId="62" fillId="0" borderId="0" xfId="0" applyFont="1">
      <alignment vertical="center"/>
    </xf>
    <xf numFmtId="0" fontId="62" fillId="0" borderId="22" xfId="0" applyFont="1" applyBorder="1">
      <alignment vertical="center"/>
    </xf>
    <xf numFmtId="0" fontId="67" fillId="24" borderId="24" xfId="0" applyFont="1" applyFill="1" applyBorder="1" applyAlignment="1">
      <alignment horizontal="center" vertical="center"/>
    </xf>
    <xf numFmtId="178" fontId="62" fillId="0" borderId="25" xfId="0" applyNumberFormat="1" applyFont="1" applyBorder="1">
      <alignment vertical="center"/>
    </xf>
    <xf numFmtId="178" fontId="62" fillId="0" borderId="26" xfId="0" applyNumberFormat="1" applyFont="1" applyBorder="1">
      <alignment vertical="center"/>
    </xf>
    <xf numFmtId="178" fontId="62" fillId="0" borderId="27" xfId="0" applyNumberFormat="1" applyFont="1" applyBorder="1">
      <alignment vertical="center"/>
    </xf>
    <xf numFmtId="178" fontId="62" fillId="25" borderId="26" xfId="0" applyNumberFormat="1" applyFont="1" applyFill="1" applyBorder="1">
      <alignment vertical="center"/>
    </xf>
    <xf numFmtId="178" fontId="62" fillId="25" borderId="27" xfId="0" applyNumberFormat="1" applyFont="1" applyFill="1" applyBorder="1">
      <alignment vertical="center"/>
    </xf>
    <xf numFmtId="0" fontId="62" fillId="24" borderId="28" xfId="0" applyFont="1" applyFill="1" applyBorder="1">
      <alignment vertical="center"/>
    </xf>
    <xf numFmtId="189" fontId="68" fillId="0" borderId="25" xfId="0" applyNumberFormat="1" applyFont="1" applyBorder="1">
      <alignment vertical="center"/>
    </xf>
    <xf numFmtId="189" fontId="62" fillId="0" borderId="30" xfId="0" applyNumberFormat="1" applyFont="1" applyBorder="1">
      <alignment vertical="center"/>
    </xf>
    <xf numFmtId="189" fontId="68" fillId="25" borderId="25" xfId="0" applyNumberFormat="1" applyFont="1" applyFill="1" applyBorder="1">
      <alignment vertical="center"/>
    </xf>
    <xf numFmtId="189" fontId="62" fillId="25" borderId="30" xfId="0" applyNumberFormat="1" applyFont="1" applyFill="1" applyBorder="1">
      <alignment vertical="center"/>
    </xf>
    <xf numFmtId="198" fontId="62" fillId="0" borderId="30" xfId="0" applyNumberFormat="1" applyFont="1" applyBorder="1">
      <alignment vertical="center"/>
    </xf>
    <xf numFmtId="179" fontId="62" fillId="0" borderId="27" xfId="0" applyNumberFormat="1" applyFont="1" applyBorder="1">
      <alignment vertical="center"/>
    </xf>
    <xf numFmtId="179" fontId="62" fillId="25" borderId="27" xfId="0" applyNumberFormat="1" applyFont="1" applyFill="1" applyBorder="1">
      <alignment vertical="center"/>
    </xf>
    <xf numFmtId="189" fontId="62" fillId="0" borderId="30" xfId="0" applyNumberFormat="1" applyFont="1" applyBorder="1" applyAlignment="1">
      <alignment horizontal="right" vertical="center"/>
    </xf>
    <xf numFmtId="178" fontId="62" fillId="0" borderId="33" xfId="0" applyNumberFormat="1" applyFont="1" applyBorder="1">
      <alignment vertical="center"/>
    </xf>
    <xf numFmtId="179" fontId="62" fillId="0" borderId="34" xfId="0" applyNumberFormat="1" applyFont="1" applyBorder="1">
      <alignment vertical="center"/>
    </xf>
    <xf numFmtId="178" fontId="62" fillId="25" borderId="33" xfId="0" applyNumberFormat="1" applyFont="1" applyFill="1" applyBorder="1">
      <alignment vertical="center"/>
    </xf>
    <xf numFmtId="179" fontId="62" fillId="25" borderId="34" xfId="0" applyNumberFormat="1" applyFont="1" applyFill="1" applyBorder="1">
      <alignment vertical="center"/>
    </xf>
    <xf numFmtId="0" fontId="62" fillId="0" borderId="35" xfId="0" applyFont="1" applyBorder="1" applyAlignment="1">
      <alignment horizontal="center" vertical="center"/>
    </xf>
    <xf numFmtId="0" fontId="62" fillId="0" borderId="36" xfId="0" applyFont="1" applyBorder="1" applyAlignment="1">
      <alignment horizontal="center" vertical="center"/>
    </xf>
    <xf numFmtId="0" fontId="62" fillId="25" borderId="35" xfId="0" applyFont="1" applyFill="1" applyBorder="1" applyAlignment="1">
      <alignment horizontal="center" vertical="center"/>
    </xf>
    <xf numFmtId="0" fontId="62" fillId="25" borderId="36" xfId="0" applyFont="1" applyFill="1" applyBorder="1" applyAlignment="1">
      <alignment horizontal="center" vertical="center"/>
    </xf>
    <xf numFmtId="189" fontId="62" fillId="25" borderId="30" xfId="0" applyNumberFormat="1" applyFont="1" applyFill="1" applyBorder="1" applyAlignment="1">
      <alignment horizontal="right" vertical="center"/>
    </xf>
    <xf numFmtId="180" fontId="24" fillId="27" borderId="10" xfId="55" applyNumberFormat="1" applyFont="1" applyFill="1" applyBorder="1" applyAlignment="1">
      <alignment horizontal="right" vertical="center"/>
    </xf>
    <xf numFmtId="184" fontId="43" fillId="29" borderId="10" xfId="41" applyNumberFormat="1" applyFont="1" applyFill="1" applyBorder="1" applyAlignment="1">
      <alignment horizontal="center" vertical="center"/>
    </xf>
    <xf numFmtId="41" fontId="43" fillId="29" borderId="10" xfId="41" applyFont="1" applyFill="1" applyBorder="1" applyAlignment="1">
      <alignment vertical="center"/>
    </xf>
    <xf numFmtId="184" fontId="43" fillId="29" borderId="10" xfId="41" quotePrefix="1" applyNumberFormat="1" applyFont="1" applyFill="1" applyBorder="1" applyAlignment="1">
      <alignment vertical="center"/>
    </xf>
    <xf numFmtId="184" fontId="43" fillId="29" borderId="10" xfId="41" quotePrefix="1" applyNumberFormat="1" applyFont="1" applyFill="1" applyBorder="1" applyAlignment="1">
      <alignment horizontal="center" vertical="center"/>
    </xf>
    <xf numFmtId="178" fontId="71" fillId="25" borderId="10" xfId="0" applyNumberFormat="1" applyFont="1" applyFill="1" applyBorder="1">
      <alignment vertical="center"/>
    </xf>
    <xf numFmtId="191" fontId="43" fillId="29" borderId="10" xfId="43" quotePrefix="1" applyNumberFormat="1" applyFont="1" applyFill="1" applyBorder="1" applyAlignment="1">
      <alignment vertical="center"/>
    </xf>
    <xf numFmtId="41" fontId="43" fillId="29" borderId="10" xfId="41" quotePrefix="1" applyFont="1" applyFill="1" applyBorder="1" applyAlignment="1">
      <alignment vertical="center"/>
    </xf>
    <xf numFmtId="0" fontId="24" fillId="26" borderId="12" xfId="0" applyFont="1" applyFill="1" applyBorder="1" applyAlignment="1">
      <alignment horizontal="center" vertical="center"/>
    </xf>
    <xf numFmtId="0" fontId="23" fillId="24" borderId="11" xfId="0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178" fontId="45" fillId="0" borderId="0" xfId="0" applyNumberFormat="1" applyFont="1" applyAlignment="1">
      <alignment horizontal="center" vertical="center"/>
    </xf>
    <xf numFmtId="0" fontId="31" fillId="0" borderId="0" xfId="0" applyFont="1">
      <alignment vertical="center"/>
    </xf>
    <xf numFmtId="0" fontId="29" fillId="0" borderId="47" xfId="0" applyFont="1" applyBorder="1">
      <alignment vertical="center"/>
    </xf>
    <xf numFmtId="0" fontId="24" fillId="0" borderId="48" xfId="0" applyFont="1" applyBorder="1">
      <alignment vertical="center"/>
    </xf>
    <xf numFmtId="0" fontId="24" fillId="24" borderId="49" xfId="0" applyFont="1" applyFill="1" applyBorder="1">
      <alignment vertical="center"/>
    </xf>
    <xf numFmtId="0" fontId="24" fillId="0" borderId="48" xfId="0" applyFont="1" applyBorder="1" applyAlignment="1">
      <alignment horizontal="center" vertical="center"/>
    </xf>
    <xf numFmtId="0" fontId="24" fillId="0" borderId="49" xfId="0" applyFont="1" applyBorder="1">
      <alignment vertical="center"/>
    </xf>
    <xf numFmtId="0" fontId="24" fillId="0" borderId="48" xfId="0" quotePrefix="1" applyFont="1" applyBorder="1">
      <alignment vertical="center"/>
    </xf>
    <xf numFmtId="0" fontId="24" fillId="0" borderId="47" xfId="0" applyFont="1" applyBorder="1">
      <alignment vertical="center"/>
    </xf>
    <xf numFmtId="0" fontId="24" fillId="26" borderId="49" xfId="0" applyFont="1" applyFill="1" applyBorder="1">
      <alignment vertical="center"/>
    </xf>
    <xf numFmtId="0" fontId="32" fillId="26" borderId="50" xfId="0" applyFont="1" applyFill="1" applyBorder="1" applyAlignment="1">
      <alignment horizontal="right" vertical="center"/>
    </xf>
    <xf numFmtId="181" fontId="45" fillId="27" borderId="50" xfId="37" applyNumberFormat="1" applyFont="1" applyFill="1" applyBorder="1" applyAlignment="1">
      <alignment vertical="center"/>
    </xf>
    <xf numFmtId="0" fontId="60" fillId="0" borderId="49" xfId="0" applyFont="1" applyBorder="1">
      <alignment vertical="center"/>
    </xf>
    <xf numFmtId="0" fontId="44" fillId="0" borderId="49" xfId="0" applyFont="1" applyBorder="1">
      <alignment vertical="center"/>
    </xf>
    <xf numFmtId="182" fontId="45" fillId="27" borderId="50" xfId="37" applyNumberFormat="1" applyFont="1" applyFill="1" applyBorder="1" applyAlignment="1">
      <alignment vertical="center"/>
    </xf>
    <xf numFmtId="181" fontId="45" fillId="0" borderId="50" xfId="37" applyNumberFormat="1" applyFont="1" applyBorder="1" applyAlignment="1">
      <alignment vertical="center"/>
    </xf>
    <xf numFmtId="181" fontId="45" fillId="0" borderId="50" xfId="37" applyNumberFormat="1" applyFont="1" applyFill="1" applyBorder="1" applyAlignment="1">
      <alignment vertical="center"/>
    </xf>
    <xf numFmtId="189" fontId="45" fillId="0" borderId="50" xfId="0" applyNumberFormat="1" applyFont="1" applyBorder="1">
      <alignment vertical="center"/>
    </xf>
    <xf numFmtId="189" fontId="32" fillId="0" borderId="50" xfId="0" applyNumberFormat="1" applyFont="1" applyBorder="1">
      <alignment vertical="center"/>
    </xf>
    <xf numFmtId="0" fontId="43" fillId="0" borderId="49" xfId="0" applyFont="1" applyBorder="1">
      <alignment vertical="center"/>
    </xf>
    <xf numFmtId="0" fontId="24" fillId="30" borderId="49" xfId="0" applyFont="1" applyFill="1" applyBorder="1">
      <alignment vertical="center"/>
    </xf>
    <xf numFmtId="183" fontId="45" fillId="27" borderId="50" xfId="37" applyNumberFormat="1" applyFont="1" applyFill="1" applyBorder="1" applyAlignment="1">
      <alignment vertical="center"/>
    </xf>
    <xf numFmtId="0" fontId="24" fillId="27" borderId="49" xfId="55" applyFont="1" applyFill="1" applyBorder="1">
      <alignment vertical="center"/>
    </xf>
    <xf numFmtId="189" fontId="45" fillId="27" borderId="50" xfId="55" applyNumberFormat="1" applyFont="1" applyFill="1" applyBorder="1">
      <alignment vertical="center"/>
    </xf>
    <xf numFmtId="0" fontId="43" fillId="0" borderId="49" xfId="55" applyFont="1" applyBorder="1">
      <alignment vertical="center"/>
    </xf>
    <xf numFmtId="189" fontId="47" fillId="0" borderId="50" xfId="55" applyNumberFormat="1" applyFont="1" applyBorder="1">
      <alignment vertical="center"/>
    </xf>
    <xf numFmtId="0" fontId="24" fillId="0" borderId="49" xfId="55" applyFont="1" applyBorder="1">
      <alignment vertical="center"/>
    </xf>
    <xf numFmtId="183" fontId="45" fillId="0" borderId="50" xfId="37" applyNumberFormat="1" applyFont="1" applyBorder="1" applyAlignment="1">
      <alignment vertical="center"/>
    </xf>
    <xf numFmtId="189" fontId="24" fillId="0" borderId="48" xfId="0" applyNumberFormat="1" applyFont="1" applyBorder="1">
      <alignment vertical="center"/>
    </xf>
    <xf numFmtId="0" fontId="44" fillId="0" borderId="53" xfId="0" applyFont="1" applyBorder="1">
      <alignment vertical="center"/>
    </xf>
    <xf numFmtId="180" fontId="44" fillId="0" borderId="54" xfId="0" applyNumberFormat="1" applyFont="1" applyBorder="1">
      <alignment vertical="center"/>
    </xf>
    <xf numFmtId="176" fontId="44" fillId="0" borderId="54" xfId="0" applyNumberFormat="1" applyFont="1" applyBorder="1">
      <alignment vertical="center"/>
    </xf>
    <xf numFmtId="41" fontId="44" fillId="0" borderId="54" xfId="41" applyFont="1" applyFill="1" applyBorder="1">
      <alignment vertical="center"/>
    </xf>
    <xf numFmtId="41" fontId="44" fillId="0" borderId="57" xfId="41" applyFont="1" applyFill="1" applyBorder="1" applyAlignment="1">
      <alignment vertical="center"/>
    </xf>
    <xf numFmtId="183" fontId="45" fillId="0" borderId="59" xfId="37" applyNumberFormat="1" applyFont="1" applyBorder="1" applyAlignment="1">
      <alignment vertical="center"/>
    </xf>
    <xf numFmtId="0" fontId="23" fillId="26" borderId="61" xfId="0" applyFont="1" applyFill="1" applyBorder="1" applyAlignment="1">
      <alignment horizontal="center" vertical="center"/>
    </xf>
    <xf numFmtId="0" fontId="23" fillId="26" borderId="62" xfId="0" applyFont="1" applyFill="1" applyBorder="1" applyAlignment="1">
      <alignment horizontal="center" vertical="center"/>
    </xf>
    <xf numFmtId="176" fontId="23" fillId="26" borderId="61" xfId="0" applyNumberFormat="1" applyFont="1" applyFill="1" applyBorder="1" applyAlignment="1">
      <alignment horizontal="center" vertical="center"/>
    </xf>
    <xf numFmtId="178" fontId="23" fillId="26" borderId="61" xfId="0" applyNumberFormat="1" applyFont="1" applyFill="1" applyBorder="1" applyAlignment="1">
      <alignment horizontal="center" vertical="center"/>
    </xf>
    <xf numFmtId="178" fontId="24" fillId="0" borderId="45" xfId="0" applyNumberFormat="1" applyFont="1" applyBorder="1" applyAlignment="1">
      <alignment horizontal="center" vertical="center"/>
    </xf>
    <xf numFmtId="0" fontId="24" fillId="0" borderId="54" xfId="0" applyFont="1" applyBorder="1" applyAlignment="1">
      <alignment horizontal="center" vertical="center"/>
    </xf>
    <xf numFmtId="0" fontId="24" fillId="0" borderId="54" xfId="0" applyFont="1" applyBorder="1">
      <alignment vertical="center"/>
    </xf>
    <xf numFmtId="184" fontId="24" fillId="0" borderId="54" xfId="41" applyNumberFormat="1" applyFont="1" applyBorder="1">
      <alignment vertical="center"/>
    </xf>
    <xf numFmtId="41" fontId="24" fillId="0" borderId="57" xfId="41" applyFont="1" applyFill="1" applyBorder="1" applyAlignment="1">
      <alignment vertical="center"/>
    </xf>
    <xf numFmtId="0" fontId="50" fillId="26" borderId="68" xfId="0" applyFont="1" applyFill="1" applyBorder="1">
      <alignment vertical="center"/>
    </xf>
    <xf numFmtId="0" fontId="50" fillId="26" borderId="61" xfId="0" applyFont="1" applyFill="1" applyBorder="1" applyAlignment="1">
      <alignment horizontal="center" vertical="center"/>
    </xf>
    <xf numFmtId="0" fontId="50" fillId="26" borderId="62" xfId="0" applyFont="1" applyFill="1" applyBorder="1" applyAlignment="1">
      <alignment horizontal="center" vertical="center"/>
    </xf>
    <xf numFmtId="176" fontId="50" fillId="26" borderId="61" xfId="0" applyNumberFormat="1" applyFont="1" applyFill="1" applyBorder="1" applyAlignment="1">
      <alignment horizontal="center" vertical="center"/>
    </xf>
    <xf numFmtId="178" fontId="50" fillId="26" borderId="61" xfId="0" applyNumberFormat="1" applyFont="1" applyFill="1" applyBorder="1" applyAlignment="1">
      <alignment horizontal="center" vertical="center"/>
    </xf>
    <xf numFmtId="178" fontId="50" fillId="0" borderId="45" xfId="0" applyNumberFormat="1" applyFont="1" applyBorder="1" applyAlignment="1">
      <alignment horizontal="center" vertical="center"/>
    </xf>
    <xf numFmtId="0" fontId="52" fillId="26" borderId="65" xfId="0" applyFont="1" applyFill="1" applyBorder="1" applyAlignment="1">
      <alignment horizontal="right" vertical="center"/>
    </xf>
    <xf numFmtId="41" fontId="24" fillId="0" borderId="0" xfId="41" applyFont="1" applyFill="1" applyBorder="1">
      <alignment vertical="center"/>
    </xf>
    <xf numFmtId="184" fontId="24" fillId="0" borderId="0" xfId="41" applyNumberFormat="1" applyFont="1" applyBorder="1">
      <alignment vertical="center"/>
    </xf>
    <xf numFmtId="178" fontId="45" fillId="0" borderId="0" xfId="0" quotePrefix="1" applyNumberFormat="1" applyFont="1">
      <alignment vertical="center"/>
    </xf>
    <xf numFmtId="183" fontId="45" fillId="0" borderId="48" xfId="37" applyNumberFormat="1" applyFont="1" applyBorder="1" applyAlignment="1">
      <alignment vertical="center"/>
    </xf>
    <xf numFmtId="41" fontId="24" fillId="27" borderId="54" xfId="42" applyFont="1" applyFill="1" applyBorder="1" applyAlignment="1">
      <alignment horizontal="center" vertical="center"/>
    </xf>
    <xf numFmtId="41" fontId="24" fillId="0" borderId="54" xfId="42" applyFont="1" applyFill="1" applyBorder="1">
      <alignment vertical="center"/>
    </xf>
    <xf numFmtId="41" fontId="24" fillId="27" borderId="57" xfId="42" applyFont="1" applyFill="1" applyBorder="1" applyAlignment="1">
      <alignment vertical="center"/>
    </xf>
    <xf numFmtId="190" fontId="73" fillId="0" borderId="10" xfId="56" applyFont="1" applyFill="1" applyBorder="1" applyAlignment="1">
      <alignment vertical="center"/>
    </xf>
    <xf numFmtId="190" fontId="73" fillId="0" borderId="10" xfId="56" applyFont="1" applyFill="1" applyBorder="1" applyAlignment="1">
      <alignment horizontal="right" vertical="center"/>
    </xf>
    <xf numFmtId="41" fontId="73" fillId="0" borderId="10" xfId="41" applyFont="1" applyFill="1" applyBorder="1" applyAlignment="1">
      <alignment vertical="center"/>
    </xf>
    <xf numFmtId="0" fontId="24" fillId="31" borderId="49" xfId="55" applyFont="1" applyFill="1" applyBorder="1">
      <alignment vertical="center"/>
    </xf>
    <xf numFmtId="182" fontId="24" fillId="31" borderId="10" xfId="55" applyNumberFormat="1" applyFont="1" applyFill="1" applyBorder="1">
      <alignment vertical="center"/>
    </xf>
    <xf numFmtId="191" fontId="43" fillId="31" borderId="10" xfId="43" quotePrefix="1" applyNumberFormat="1" applyFont="1" applyFill="1" applyBorder="1" applyAlignment="1">
      <alignment vertical="center"/>
    </xf>
    <xf numFmtId="196" fontId="24" fillId="31" borderId="10" xfId="55" applyNumberFormat="1" applyFont="1" applyFill="1" applyBorder="1">
      <alignment vertical="center"/>
    </xf>
    <xf numFmtId="191" fontId="24" fillId="31" borderId="10" xfId="43" applyNumberFormat="1" applyFont="1" applyFill="1" applyBorder="1" applyAlignment="1">
      <alignment vertical="center"/>
    </xf>
    <xf numFmtId="41" fontId="24" fillId="31" borderId="10" xfId="42" applyFont="1" applyFill="1" applyBorder="1">
      <alignment vertical="center"/>
    </xf>
    <xf numFmtId="0" fontId="45" fillId="0" borderId="0" xfId="55" quotePrefix="1" applyFont="1">
      <alignment vertical="center"/>
    </xf>
    <xf numFmtId="199" fontId="24" fillId="31" borderId="10" xfId="55" applyNumberFormat="1" applyFont="1" applyFill="1" applyBorder="1">
      <alignment vertical="center"/>
    </xf>
    <xf numFmtId="199" fontId="24" fillId="27" borderId="10" xfId="55" applyNumberFormat="1" applyFont="1" applyFill="1" applyBorder="1">
      <alignment vertical="center"/>
    </xf>
    <xf numFmtId="199" fontId="43" fillId="0" borderId="10" xfId="55" applyNumberFormat="1" applyFont="1" applyBorder="1">
      <alignment vertical="center"/>
    </xf>
    <xf numFmtId="190" fontId="73" fillId="0" borderId="10" xfId="56" applyFont="1" applyFill="1" applyBorder="1" applyAlignment="1">
      <alignment horizontal="center" vertical="center"/>
    </xf>
    <xf numFmtId="178" fontId="75" fillId="0" borderId="11" xfId="55" applyNumberFormat="1" applyFont="1" applyBorder="1">
      <alignment vertical="center"/>
    </xf>
    <xf numFmtId="178" fontId="75" fillId="0" borderId="14" xfId="55" applyNumberFormat="1" applyFont="1" applyBorder="1">
      <alignment vertical="center"/>
    </xf>
    <xf numFmtId="0" fontId="85" fillId="0" borderId="0" xfId="0" applyFont="1">
      <alignment vertical="center"/>
    </xf>
    <xf numFmtId="0" fontId="86" fillId="0" borderId="0" xfId="0" applyFont="1">
      <alignment vertical="center"/>
    </xf>
    <xf numFmtId="0" fontId="87" fillId="0" borderId="47" xfId="0" applyFont="1" applyBorder="1">
      <alignment vertical="center"/>
    </xf>
    <xf numFmtId="0" fontId="85" fillId="0" borderId="48" xfId="0" applyFont="1" applyBorder="1">
      <alignment vertical="center"/>
    </xf>
    <xf numFmtId="0" fontId="85" fillId="24" borderId="49" xfId="0" applyFont="1" applyFill="1" applyBorder="1">
      <alignment vertical="center"/>
    </xf>
    <xf numFmtId="178" fontId="89" fillId="25" borderId="10" xfId="0" applyNumberFormat="1" applyFont="1" applyFill="1" applyBorder="1">
      <alignment vertical="center"/>
    </xf>
    <xf numFmtId="0" fontId="85" fillId="24" borderId="10" xfId="0" applyFont="1" applyFill="1" applyBorder="1" applyAlignment="1">
      <alignment horizontal="center" vertical="center"/>
    </xf>
    <xf numFmtId="0" fontId="85" fillId="0" borderId="10" xfId="0" applyFont="1" applyBorder="1" applyAlignment="1">
      <alignment horizontal="center" vertical="center"/>
    </xf>
    <xf numFmtId="0" fontId="90" fillId="0" borderId="10" xfId="0" applyFont="1" applyBorder="1" applyAlignment="1">
      <alignment horizontal="center" vertical="center"/>
    </xf>
    <xf numFmtId="0" fontId="85" fillId="0" borderId="13" xfId="0" applyFont="1" applyBorder="1" applyAlignment="1">
      <alignment horizontal="center" vertical="center"/>
    </xf>
    <xf numFmtId="181" fontId="85" fillId="0" borderId="10" xfId="0" applyNumberFormat="1" applyFont="1" applyBorder="1">
      <alignment vertical="center"/>
    </xf>
    <xf numFmtId="192" fontId="85" fillId="0" borderId="0" xfId="41" applyNumberFormat="1" applyFont="1">
      <alignment vertical="center"/>
    </xf>
    <xf numFmtId="178" fontId="87" fillId="25" borderId="10" xfId="0" applyNumberFormat="1" applyFont="1" applyFill="1" applyBorder="1">
      <alignment vertical="center"/>
    </xf>
    <xf numFmtId="176" fontId="87" fillId="25" borderId="10" xfId="0" applyNumberFormat="1" applyFont="1" applyFill="1" applyBorder="1" applyAlignment="1">
      <alignment horizontal="center" vertical="center"/>
    </xf>
    <xf numFmtId="176" fontId="85" fillId="0" borderId="10" xfId="0" applyNumberFormat="1" applyFont="1" applyBorder="1" applyAlignment="1">
      <alignment horizontal="center" vertical="center"/>
    </xf>
    <xf numFmtId="176" fontId="90" fillId="0" borderId="10" xfId="0" applyNumberFormat="1" applyFont="1" applyBorder="1" applyAlignment="1">
      <alignment horizontal="center" vertical="center"/>
    </xf>
    <xf numFmtId="176" fontId="85" fillId="0" borderId="13" xfId="0" applyNumberFormat="1" applyFont="1" applyBorder="1" applyAlignment="1">
      <alignment horizontal="center" vertical="center"/>
    </xf>
    <xf numFmtId="182" fontId="85" fillId="0" borderId="10" xfId="0" applyNumberFormat="1" applyFont="1" applyBorder="1">
      <alignment vertical="center"/>
    </xf>
    <xf numFmtId="0" fontId="92" fillId="0" borderId="0" xfId="0" quotePrefix="1" applyFont="1">
      <alignment vertical="center"/>
    </xf>
    <xf numFmtId="192" fontId="86" fillId="0" borderId="0" xfId="41" applyNumberFormat="1" applyFont="1">
      <alignment vertical="center"/>
    </xf>
    <xf numFmtId="177" fontId="88" fillId="25" borderId="10" xfId="0" applyNumberFormat="1" applyFont="1" applyFill="1" applyBorder="1">
      <alignment vertical="center"/>
    </xf>
    <xf numFmtId="0" fontId="85" fillId="24" borderId="11" xfId="0" applyFont="1" applyFill="1" applyBorder="1" applyAlignment="1">
      <alignment horizontal="center" vertical="center"/>
    </xf>
    <xf numFmtId="186" fontId="88" fillId="25" borderId="10" xfId="0" applyNumberFormat="1" applyFont="1" applyFill="1" applyBorder="1">
      <alignment vertical="center"/>
    </xf>
    <xf numFmtId="178" fontId="88" fillId="25" borderId="10" xfId="0" applyNumberFormat="1" applyFont="1" applyFill="1" applyBorder="1">
      <alignment vertical="center"/>
    </xf>
    <xf numFmtId="185" fontId="85" fillId="0" borderId="10" xfId="0" applyNumberFormat="1" applyFont="1" applyBorder="1">
      <alignment vertical="center"/>
    </xf>
    <xf numFmtId="177" fontId="87" fillId="29" borderId="10" xfId="0" applyNumberFormat="1" applyFont="1" applyFill="1" applyBorder="1">
      <alignment vertical="center"/>
    </xf>
    <xf numFmtId="0" fontId="91" fillId="0" borderId="0" xfId="0" applyFont="1">
      <alignment vertical="center"/>
    </xf>
    <xf numFmtId="179" fontId="87" fillId="25" borderId="10" xfId="0" applyNumberFormat="1" applyFont="1" applyFill="1" applyBorder="1" applyAlignment="1">
      <alignment horizontal="center" vertical="center"/>
    </xf>
    <xf numFmtId="180" fontId="85" fillId="0" borderId="10" xfId="0" quotePrefix="1" applyNumberFormat="1" applyFont="1" applyBorder="1" applyAlignment="1">
      <alignment horizontal="center" vertical="center"/>
    </xf>
    <xf numFmtId="180" fontId="85" fillId="0" borderId="13" xfId="0" applyNumberFormat="1" applyFont="1" applyBorder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85" fillId="0" borderId="48" xfId="0" applyFont="1" applyBorder="1" applyAlignment="1">
      <alignment horizontal="center" vertical="center"/>
    </xf>
    <xf numFmtId="0" fontId="92" fillId="0" borderId="0" xfId="0" applyFont="1">
      <alignment vertical="center"/>
    </xf>
    <xf numFmtId="0" fontId="85" fillId="0" borderId="49" xfId="0" applyFont="1" applyBorder="1">
      <alignment vertical="center"/>
    </xf>
    <xf numFmtId="178" fontId="87" fillId="25" borderId="10" xfId="0" applyNumberFormat="1" applyFont="1" applyFill="1" applyBorder="1" applyAlignment="1">
      <alignment horizontal="center" vertical="center"/>
    </xf>
    <xf numFmtId="178" fontId="85" fillId="0" borderId="13" xfId="0" applyNumberFormat="1" applyFont="1" applyBorder="1" applyAlignment="1">
      <alignment horizontal="center" vertical="center"/>
    </xf>
    <xf numFmtId="180" fontId="85" fillId="0" borderId="10" xfId="0" applyNumberFormat="1" applyFont="1" applyBorder="1" applyAlignment="1">
      <alignment horizontal="center" vertical="center"/>
    </xf>
    <xf numFmtId="0" fontId="87" fillId="25" borderId="10" xfId="0" applyFont="1" applyFill="1" applyBorder="1" applyAlignment="1">
      <alignment horizontal="center" vertical="center"/>
    </xf>
    <xf numFmtId="192" fontId="86" fillId="0" borderId="0" xfId="0" applyNumberFormat="1" applyFont="1">
      <alignment vertical="center"/>
    </xf>
    <xf numFmtId="0" fontId="85" fillId="0" borderId="48" xfId="0" quotePrefix="1" applyFont="1" applyBorder="1">
      <alignment vertical="center"/>
    </xf>
    <xf numFmtId="177" fontId="85" fillId="0" borderId="10" xfId="0" applyNumberFormat="1" applyFont="1" applyBorder="1">
      <alignment vertical="center"/>
    </xf>
    <xf numFmtId="0" fontId="85" fillId="0" borderId="47" xfId="0" applyFont="1" applyBorder="1">
      <alignment vertical="center"/>
    </xf>
    <xf numFmtId="177" fontId="85" fillId="0" borderId="0" xfId="0" applyNumberFormat="1" applyFont="1">
      <alignment vertical="center"/>
    </xf>
    <xf numFmtId="0" fontId="85" fillId="26" borderId="49" xfId="0" applyFont="1" applyFill="1" applyBorder="1">
      <alignment vertical="center"/>
    </xf>
    <xf numFmtId="0" fontId="85" fillId="26" borderId="10" xfId="0" applyFont="1" applyFill="1" applyBorder="1" applyAlignment="1">
      <alignment horizontal="center" vertical="center"/>
    </xf>
    <xf numFmtId="0" fontId="85" fillId="26" borderId="12" xfId="0" applyFont="1" applyFill="1" applyBorder="1" applyAlignment="1">
      <alignment horizontal="center" vertical="center"/>
    </xf>
    <xf numFmtId="176" fontId="85" fillId="26" borderId="10" xfId="0" applyNumberFormat="1" applyFont="1" applyFill="1" applyBorder="1" applyAlignment="1">
      <alignment horizontal="center" vertical="center"/>
    </xf>
    <xf numFmtId="178" fontId="85" fillId="26" borderId="10" xfId="0" applyNumberFormat="1" applyFont="1" applyFill="1" applyBorder="1" applyAlignment="1">
      <alignment horizontal="center" vertical="center"/>
    </xf>
    <xf numFmtId="178" fontId="85" fillId="0" borderId="0" xfId="0" applyNumberFormat="1" applyFont="1" applyAlignment="1">
      <alignment horizontal="center" vertical="center"/>
    </xf>
    <xf numFmtId="0" fontId="93" fillId="26" borderId="50" xfId="0" applyFont="1" applyFill="1" applyBorder="1" applyAlignment="1">
      <alignment horizontal="right" vertical="center"/>
    </xf>
    <xf numFmtId="0" fontId="86" fillId="0" borderId="0" xfId="0" applyFont="1" applyAlignment="1">
      <alignment horizontal="center" vertical="center"/>
    </xf>
    <xf numFmtId="185" fontId="85" fillId="0" borderId="0" xfId="0" applyNumberFormat="1" applyFont="1">
      <alignment vertical="center"/>
    </xf>
    <xf numFmtId="180" fontId="85" fillId="0" borderId="10" xfId="0" applyNumberFormat="1" applyFont="1" applyBorder="1">
      <alignment vertical="center"/>
    </xf>
    <xf numFmtId="176" fontId="85" fillId="0" borderId="10" xfId="0" applyNumberFormat="1" applyFont="1" applyBorder="1">
      <alignment vertical="center"/>
    </xf>
    <xf numFmtId="41" fontId="85" fillId="0" borderId="10" xfId="41" applyFont="1" applyFill="1" applyBorder="1">
      <alignment vertical="center"/>
    </xf>
    <xf numFmtId="190" fontId="94" fillId="0" borderId="10" xfId="56" applyFont="1" applyFill="1" applyBorder="1" applyAlignment="1">
      <alignment vertical="center"/>
    </xf>
    <xf numFmtId="41" fontId="95" fillId="0" borderId="0" xfId="41" applyFont="1" applyFill="1" applyBorder="1" applyAlignment="1">
      <alignment vertical="center"/>
    </xf>
    <xf numFmtId="181" fontId="86" fillId="27" borderId="50" xfId="37" applyNumberFormat="1" applyFont="1" applyFill="1" applyBorder="1" applyAlignment="1">
      <alignment vertical="center"/>
    </xf>
    <xf numFmtId="177" fontId="86" fillId="0" borderId="0" xfId="0" applyNumberFormat="1" applyFont="1">
      <alignment vertical="center"/>
    </xf>
    <xf numFmtId="182" fontId="85" fillId="0" borderId="0" xfId="0" applyNumberFormat="1" applyFont="1">
      <alignment vertical="center"/>
    </xf>
    <xf numFmtId="0" fontId="96" fillId="0" borderId="49" xfId="0" applyFont="1" applyBorder="1">
      <alignment vertical="center"/>
    </xf>
    <xf numFmtId="180" fontId="96" fillId="0" borderId="10" xfId="0" applyNumberFormat="1" applyFont="1" applyBorder="1">
      <alignment vertical="center"/>
    </xf>
    <xf numFmtId="176" fontId="96" fillId="0" borderId="10" xfId="0" applyNumberFormat="1" applyFont="1" applyBorder="1">
      <alignment vertical="center"/>
    </xf>
    <xf numFmtId="41" fontId="96" fillId="0" borderId="10" xfId="41" applyFont="1" applyFill="1" applyBorder="1">
      <alignment vertical="center"/>
    </xf>
    <xf numFmtId="0" fontId="97" fillId="0" borderId="49" xfId="0" applyFont="1" applyBorder="1">
      <alignment vertical="center"/>
    </xf>
    <xf numFmtId="0" fontId="95" fillId="0" borderId="49" xfId="0" applyFont="1" applyBorder="1">
      <alignment vertical="center"/>
    </xf>
    <xf numFmtId="180" fontId="95" fillId="0" borderId="10" xfId="0" applyNumberFormat="1" applyFont="1" applyBorder="1">
      <alignment vertical="center"/>
    </xf>
    <xf numFmtId="194" fontId="95" fillId="0" borderId="10" xfId="0" applyNumberFormat="1" applyFont="1" applyBorder="1">
      <alignment vertical="center"/>
    </xf>
    <xf numFmtId="193" fontId="95" fillId="0" borderId="10" xfId="0" applyNumberFormat="1" applyFont="1" applyBorder="1">
      <alignment vertical="center"/>
    </xf>
    <xf numFmtId="186" fontId="95" fillId="0" borderId="10" xfId="0" applyNumberFormat="1" applyFont="1" applyBorder="1">
      <alignment vertical="center"/>
    </xf>
    <xf numFmtId="41" fontId="95" fillId="0" borderId="10" xfId="41" applyFont="1" applyFill="1" applyBorder="1">
      <alignment vertical="center"/>
    </xf>
    <xf numFmtId="182" fontId="86" fillId="27" borderId="50" xfId="37" applyNumberFormat="1" applyFont="1" applyFill="1" applyBorder="1" applyAlignment="1">
      <alignment vertical="center"/>
    </xf>
    <xf numFmtId="190" fontId="94" fillId="0" borderId="10" xfId="56" applyFont="1" applyFill="1" applyBorder="1" applyAlignment="1">
      <alignment horizontal="right" vertical="center"/>
    </xf>
    <xf numFmtId="181" fontId="86" fillId="0" borderId="50" xfId="37" applyNumberFormat="1" applyFont="1" applyBorder="1" applyAlignment="1">
      <alignment vertical="center"/>
    </xf>
    <xf numFmtId="0" fontId="85" fillId="0" borderId="0" xfId="0" quotePrefix="1" applyFont="1">
      <alignment vertical="center"/>
    </xf>
    <xf numFmtId="176" fontId="95" fillId="0" borderId="10" xfId="0" applyNumberFormat="1" applyFont="1" applyBorder="1">
      <alignment vertical="center"/>
    </xf>
    <xf numFmtId="190" fontId="98" fillId="0" borderId="10" xfId="56" applyFont="1" applyFill="1" applyBorder="1" applyAlignment="1">
      <alignment vertical="center"/>
    </xf>
    <xf numFmtId="181" fontId="86" fillId="0" borderId="50" xfId="37" applyNumberFormat="1" applyFont="1" applyFill="1" applyBorder="1" applyAlignment="1">
      <alignment vertical="center"/>
    </xf>
    <xf numFmtId="180" fontId="85" fillId="26" borderId="10" xfId="0" applyNumberFormat="1" applyFont="1" applyFill="1" applyBorder="1" applyAlignment="1">
      <alignment horizontal="center" vertical="center"/>
    </xf>
    <xf numFmtId="178" fontId="86" fillId="0" borderId="0" xfId="0" applyNumberFormat="1" applyFont="1" applyAlignment="1">
      <alignment horizontal="center" vertical="center"/>
    </xf>
    <xf numFmtId="184" fontId="97" fillId="29" borderId="10" xfId="41" applyNumberFormat="1" applyFont="1" applyFill="1" applyBorder="1" applyAlignment="1">
      <alignment horizontal="center" vertical="center"/>
    </xf>
    <xf numFmtId="184" fontId="85" fillId="0" borderId="10" xfId="41" applyNumberFormat="1" applyFont="1" applyBorder="1">
      <alignment vertical="center"/>
    </xf>
    <xf numFmtId="189" fontId="86" fillId="0" borderId="50" xfId="0" applyNumberFormat="1" applyFont="1" applyBorder="1">
      <alignment vertical="center"/>
    </xf>
    <xf numFmtId="183" fontId="86" fillId="0" borderId="0" xfId="0" applyNumberFormat="1" applyFont="1">
      <alignment vertical="center"/>
    </xf>
    <xf numFmtId="182" fontId="95" fillId="0" borderId="10" xfId="0" applyNumberFormat="1" applyFont="1" applyBorder="1">
      <alignment vertical="center"/>
    </xf>
    <xf numFmtId="184" fontId="95" fillId="0" borderId="10" xfId="41" applyNumberFormat="1" applyFont="1" applyBorder="1">
      <alignment vertical="center"/>
    </xf>
    <xf numFmtId="41" fontId="100" fillId="0" borderId="0" xfId="41" applyFont="1" applyFill="1" applyBorder="1" applyAlignment="1">
      <alignment vertical="center"/>
    </xf>
    <xf numFmtId="41" fontId="85" fillId="0" borderId="0" xfId="41" applyFont="1" applyFill="1" applyBorder="1" applyAlignment="1">
      <alignment vertical="center"/>
    </xf>
    <xf numFmtId="41" fontId="97" fillId="29" borderId="10" xfId="41" applyFont="1" applyFill="1" applyBorder="1" applyAlignment="1">
      <alignment vertical="center"/>
    </xf>
    <xf numFmtId="184" fontId="97" fillId="29" borderId="10" xfId="41" quotePrefix="1" applyNumberFormat="1" applyFont="1" applyFill="1" applyBorder="1" applyAlignment="1">
      <alignment vertical="center"/>
    </xf>
    <xf numFmtId="184" fontId="97" fillId="29" borderId="10" xfId="41" quotePrefix="1" applyNumberFormat="1" applyFont="1" applyFill="1" applyBorder="1" applyAlignment="1">
      <alignment horizontal="center" vertical="center"/>
    </xf>
    <xf numFmtId="190" fontId="94" fillId="0" borderId="10" xfId="56" applyFont="1" applyFill="1" applyBorder="1" applyAlignment="1">
      <alignment horizontal="center" vertical="center"/>
    </xf>
    <xf numFmtId="189" fontId="93" fillId="0" borderId="50" xfId="0" applyNumberFormat="1" applyFont="1" applyBorder="1">
      <alignment vertical="center"/>
    </xf>
    <xf numFmtId="192" fontId="85" fillId="0" borderId="10" xfId="41" quotePrefix="1" applyNumberFormat="1" applyFont="1" applyFill="1" applyBorder="1" applyAlignment="1">
      <alignment vertical="center"/>
    </xf>
    <xf numFmtId="183" fontId="85" fillId="0" borderId="10" xfId="0" applyNumberFormat="1" applyFont="1" applyBorder="1">
      <alignment vertical="center"/>
    </xf>
    <xf numFmtId="41" fontId="85" fillId="0" borderId="10" xfId="41" applyFont="1" applyBorder="1">
      <alignment vertical="center"/>
    </xf>
    <xf numFmtId="182" fontId="85" fillId="0" borderId="10" xfId="0" applyNumberFormat="1" applyFont="1" applyBorder="1" applyAlignment="1">
      <alignment horizontal="right" vertical="center"/>
    </xf>
    <xf numFmtId="41" fontId="97" fillId="29" borderId="10" xfId="41" applyFont="1" applyFill="1" applyBorder="1">
      <alignment vertical="center"/>
    </xf>
    <xf numFmtId="182" fontId="97" fillId="0" borderId="10" xfId="0" applyNumberFormat="1" applyFont="1" applyBorder="1">
      <alignment vertical="center"/>
    </xf>
    <xf numFmtId="184" fontId="97" fillId="0" borderId="10" xfId="41" applyNumberFormat="1" applyFont="1" applyBorder="1">
      <alignment vertical="center"/>
    </xf>
    <xf numFmtId="41" fontId="97" fillId="0" borderId="0" xfId="41" applyFont="1" applyFill="1" applyBorder="1" applyAlignment="1">
      <alignment vertical="center"/>
    </xf>
    <xf numFmtId="197" fontId="86" fillId="0" borderId="0" xfId="0" applyNumberFormat="1" applyFont="1">
      <alignment vertical="center"/>
    </xf>
    <xf numFmtId="0" fontId="85" fillId="0" borderId="0" xfId="55" applyFont="1">
      <alignment vertical="center"/>
    </xf>
    <xf numFmtId="180" fontId="85" fillId="27" borderId="10" xfId="55" applyNumberFormat="1" applyFont="1" applyFill="1" applyBorder="1">
      <alignment vertical="center"/>
    </xf>
    <xf numFmtId="186" fontId="85" fillId="27" borderId="10" xfId="55" applyNumberFormat="1" applyFont="1" applyFill="1" applyBorder="1">
      <alignment vertical="center"/>
    </xf>
    <xf numFmtId="183" fontId="86" fillId="27" borderId="50" xfId="37" applyNumberFormat="1" applyFont="1" applyFill="1" applyBorder="1" applyAlignment="1">
      <alignment vertical="center"/>
    </xf>
    <xf numFmtId="0" fontId="86" fillId="0" borderId="0" xfId="55" applyFont="1">
      <alignment vertical="center"/>
    </xf>
    <xf numFmtId="180" fontId="85" fillId="27" borderId="10" xfId="55" applyNumberFormat="1" applyFont="1" applyFill="1" applyBorder="1" applyAlignment="1">
      <alignment horizontal="right" vertical="center"/>
    </xf>
    <xf numFmtId="182" fontId="85" fillId="27" borderId="10" xfId="55" applyNumberFormat="1" applyFont="1" applyFill="1" applyBorder="1">
      <alignment vertical="center"/>
    </xf>
    <xf numFmtId="41" fontId="85" fillId="0" borderId="0" xfId="42" applyFont="1" applyFill="1" applyBorder="1" applyAlignment="1">
      <alignment vertical="center"/>
    </xf>
    <xf numFmtId="189" fontId="86" fillId="27" borderId="50" xfId="55" applyNumberFormat="1" applyFont="1" applyFill="1" applyBorder="1">
      <alignment vertical="center"/>
    </xf>
    <xf numFmtId="0" fontId="97" fillId="0" borderId="49" xfId="55" applyFont="1" applyBorder="1">
      <alignment vertical="center"/>
    </xf>
    <xf numFmtId="199" fontId="97" fillId="0" borderId="10" xfId="55" applyNumberFormat="1" applyFont="1" applyBorder="1">
      <alignment vertical="center"/>
    </xf>
    <xf numFmtId="191" fontId="97" fillId="0" borderId="10" xfId="43" quotePrefix="1" applyNumberFormat="1" applyFont="1" applyFill="1" applyBorder="1" applyAlignment="1">
      <alignment vertical="center"/>
    </xf>
    <xf numFmtId="196" fontId="97" fillId="0" borderId="10" xfId="55" applyNumberFormat="1" applyFont="1" applyBorder="1">
      <alignment vertical="center"/>
    </xf>
    <xf numFmtId="182" fontId="97" fillId="0" borderId="10" xfId="55" applyNumberFormat="1" applyFont="1" applyBorder="1">
      <alignment vertical="center"/>
    </xf>
    <xf numFmtId="191" fontId="97" fillId="0" borderId="10" xfId="43" applyNumberFormat="1" applyFont="1" applyFill="1" applyBorder="1" applyAlignment="1">
      <alignment vertical="center"/>
    </xf>
    <xf numFmtId="41" fontId="85" fillId="0" borderId="10" xfId="42" applyFont="1" applyFill="1" applyBorder="1">
      <alignment vertical="center"/>
    </xf>
    <xf numFmtId="41" fontId="97" fillId="0" borderId="0" xfId="42" applyFont="1" applyFill="1" applyBorder="1" applyAlignment="1">
      <alignment vertical="center"/>
    </xf>
    <xf numFmtId="178" fontId="76" fillId="0" borderId="11" xfId="55" applyNumberFormat="1" applyFont="1" applyBorder="1">
      <alignment vertical="center"/>
    </xf>
    <xf numFmtId="178" fontId="76" fillId="0" borderId="14" xfId="55" applyNumberFormat="1" applyFont="1" applyBorder="1">
      <alignment vertical="center"/>
    </xf>
    <xf numFmtId="189" fontId="101" fillId="0" borderId="50" xfId="55" applyNumberFormat="1" applyFont="1" applyBorder="1">
      <alignment vertical="center"/>
    </xf>
    <xf numFmtId="191" fontId="97" fillId="31" borderId="10" xfId="43" quotePrefix="1" applyNumberFormat="1" applyFont="1" applyFill="1" applyBorder="1" applyAlignment="1">
      <alignment vertical="center"/>
    </xf>
    <xf numFmtId="0" fontId="86" fillId="0" borderId="0" xfId="55" quotePrefix="1" applyFont="1">
      <alignment vertical="center"/>
    </xf>
    <xf numFmtId="0" fontId="85" fillId="0" borderId="49" xfId="55" applyFont="1" applyBorder="1">
      <alignment vertical="center"/>
    </xf>
    <xf numFmtId="41" fontId="97" fillId="29" borderId="10" xfId="41" quotePrefix="1" applyFont="1" applyFill="1" applyBorder="1" applyAlignment="1">
      <alignment vertical="center"/>
    </xf>
    <xf numFmtId="182" fontId="85" fillId="0" borderId="10" xfId="55" applyNumberFormat="1" applyFont="1" applyBorder="1">
      <alignment vertical="center"/>
    </xf>
    <xf numFmtId="184" fontId="85" fillId="0" borderId="10" xfId="42" applyNumberFormat="1" applyFont="1" applyFill="1" applyBorder="1">
      <alignment vertical="center"/>
    </xf>
    <xf numFmtId="41" fontId="97" fillId="0" borderId="10" xfId="41" quotePrefix="1" applyFont="1" applyFill="1" applyBorder="1" applyAlignment="1">
      <alignment vertical="center"/>
    </xf>
    <xf numFmtId="43" fontId="97" fillId="0" borderId="10" xfId="55" applyNumberFormat="1" applyFont="1" applyBorder="1">
      <alignment vertical="center"/>
    </xf>
    <xf numFmtId="41" fontId="97" fillId="0" borderId="10" xfId="42" applyFont="1" applyFill="1" applyBorder="1">
      <alignment vertical="center"/>
    </xf>
    <xf numFmtId="0" fontId="101" fillId="0" borderId="0" xfId="55" applyFont="1">
      <alignment vertical="center"/>
    </xf>
    <xf numFmtId="178" fontId="85" fillId="26" borderId="10" xfId="55" applyNumberFormat="1" applyFont="1" applyFill="1" applyBorder="1" applyAlignment="1">
      <alignment horizontal="center" vertical="center"/>
    </xf>
    <xf numFmtId="0" fontId="85" fillId="26" borderId="10" xfId="55" applyFont="1" applyFill="1" applyBorder="1" applyAlignment="1">
      <alignment horizontal="center" vertical="center"/>
    </xf>
    <xf numFmtId="178" fontId="85" fillId="0" borderId="0" xfId="55" applyNumberFormat="1" applyFont="1" applyAlignment="1">
      <alignment horizontal="center" vertical="center"/>
    </xf>
    <xf numFmtId="41" fontId="85" fillId="27" borderId="54" xfId="42" applyFont="1" applyFill="1" applyBorder="1" applyAlignment="1">
      <alignment horizontal="center" vertical="center"/>
    </xf>
    <xf numFmtId="41" fontId="85" fillId="27" borderId="57" xfId="42" applyFont="1" applyFill="1" applyBorder="1" applyAlignment="1">
      <alignment vertical="center"/>
    </xf>
    <xf numFmtId="41" fontId="85" fillId="0" borderId="0" xfId="41" applyFont="1" applyFill="1" applyBorder="1">
      <alignment vertical="center"/>
    </xf>
    <xf numFmtId="184" fontId="85" fillId="0" borderId="0" xfId="41" applyNumberFormat="1" applyFont="1" applyBorder="1">
      <alignment vertical="center"/>
    </xf>
    <xf numFmtId="41" fontId="85" fillId="0" borderId="0" xfId="41" applyFont="1" applyBorder="1" applyAlignment="1">
      <alignment vertical="center"/>
    </xf>
    <xf numFmtId="178" fontId="86" fillId="0" borderId="0" xfId="0" quotePrefix="1" applyNumberFormat="1" applyFont="1">
      <alignment vertical="center"/>
    </xf>
    <xf numFmtId="183" fontId="86" fillId="0" borderId="48" xfId="37" applyNumberFormat="1" applyFont="1" applyBorder="1" applyAlignment="1">
      <alignment vertical="center"/>
    </xf>
    <xf numFmtId="0" fontId="85" fillId="26" borderId="61" xfId="0" applyFont="1" applyFill="1" applyBorder="1" applyAlignment="1">
      <alignment horizontal="center" vertical="center"/>
    </xf>
    <xf numFmtId="0" fontId="85" fillId="26" borderId="62" xfId="0" applyFont="1" applyFill="1" applyBorder="1" applyAlignment="1">
      <alignment horizontal="center" vertical="center"/>
    </xf>
    <xf numFmtId="176" fontId="85" fillId="26" borderId="61" xfId="0" applyNumberFormat="1" applyFont="1" applyFill="1" applyBorder="1" applyAlignment="1">
      <alignment horizontal="center" vertical="center"/>
    </xf>
    <xf numFmtId="178" fontId="85" fillId="26" borderId="61" xfId="0" applyNumberFormat="1" applyFont="1" applyFill="1" applyBorder="1" applyAlignment="1">
      <alignment horizontal="center" vertical="center"/>
    </xf>
    <xf numFmtId="178" fontId="85" fillId="0" borderId="45" xfId="0" applyNumberFormat="1" applyFont="1" applyBorder="1" applyAlignment="1">
      <alignment horizontal="center" vertical="center"/>
    </xf>
    <xf numFmtId="0" fontId="85" fillId="0" borderId="10" xfId="0" applyFont="1" applyBorder="1">
      <alignment vertical="center"/>
    </xf>
    <xf numFmtId="0" fontId="85" fillId="0" borderId="20" xfId="0" applyFont="1" applyBorder="1" applyAlignment="1">
      <alignment horizontal="center" vertical="center"/>
    </xf>
    <xf numFmtId="41" fontId="97" fillId="0" borderId="10" xfId="41" applyFont="1" applyBorder="1">
      <alignment vertical="center"/>
    </xf>
    <xf numFmtId="41" fontId="85" fillId="0" borderId="72" xfId="41" applyFont="1" applyBorder="1" applyAlignment="1">
      <alignment vertical="center"/>
    </xf>
    <xf numFmtId="189" fontId="86" fillId="0" borderId="15" xfId="0" applyNumberFormat="1" applyFont="1" applyBorder="1">
      <alignment vertical="center"/>
    </xf>
    <xf numFmtId="189" fontId="86" fillId="0" borderId="70" xfId="0" applyNumberFormat="1" applyFont="1" applyBorder="1">
      <alignment vertical="center"/>
    </xf>
    <xf numFmtId="189" fontId="86" fillId="0" borderId="71" xfId="0" applyNumberFormat="1" applyFont="1" applyBorder="1">
      <alignment vertical="center"/>
    </xf>
    <xf numFmtId="0" fontId="85" fillId="0" borderId="19" xfId="0" applyFont="1" applyBorder="1">
      <alignment vertical="center"/>
    </xf>
    <xf numFmtId="41" fontId="85" fillId="0" borderId="57" xfId="41" applyFont="1" applyFill="1" applyBorder="1" applyAlignment="1">
      <alignment vertical="center"/>
    </xf>
    <xf numFmtId="41" fontId="88" fillId="0" borderId="0" xfId="41" applyFont="1" applyBorder="1" applyAlignment="1">
      <alignment vertical="center"/>
    </xf>
    <xf numFmtId="0" fontId="85" fillId="0" borderId="0" xfId="0" applyFont="1" applyAlignment="1">
      <alignment horizontal="justify" vertical="center"/>
    </xf>
    <xf numFmtId="41" fontId="85" fillId="0" borderId="0" xfId="41" applyFont="1" applyBorder="1">
      <alignment vertical="center"/>
    </xf>
    <xf numFmtId="189" fontId="85" fillId="0" borderId="0" xfId="0" applyNumberFormat="1" applyFont="1">
      <alignment vertical="center"/>
    </xf>
    <xf numFmtId="189" fontId="85" fillId="0" borderId="48" xfId="0" applyNumberFormat="1" applyFont="1" applyBorder="1">
      <alignment vertical="center"/>
    </xf>
    <xf numFmtId="0" fontId="102" fillId="26" borderId="68" xfId="0" applyFont="1" applyFill="1" applyBorder="1">
      <alignment vertical="center"/>
    </xf>
    <xf numFmtId="0" fontId="102" fillId="26" borderId="61" xfId="0" applyFont="1" applyFill="1" applyBorder="1" applyAlignment="1">
      <alignment horizontal="center" vertical="center"/>
    </xf>
    <xf numFmtId="0" fontId="102" fillId="26" borderId="62" xfId="0" applyFont="1" applyFill="1" applyBorder="1" applyAlignment="1">
      <alignment horizontal="center" vertical="center"/>
    </xf>
    <xf numFmtId="176" fontId="102" fillId="26" borderId="61" xfId="0" applyNumberFormat="1" applyFont="1" applyFill="1" applyBorder="1" applyAlignment="1">
      <alignment horizontal="center" vertical="center"/>
    </xf>
    <xf numFmtId="178" fontId="102" fillId="26" borderId="61" xfId="0" applyNumberFormat="1" applyFont="1" applyFill="1" applyBorder="1" applyAlignment="1">
      <alignment horizontal="center" vertical="center"/>
    </xf>
    <xf numFmtId="178" fontId="102" fillId="0" borderId="45" xfId="0" applyNumberFormat="1" applyFont="1" applyBorder="1" applyAlignment="1">
      <alignment horizontal="center" vertical="center"/>
    </xf>
    <xf numFmtId="0" fontId="103" fillId="26" borderId="65" xfId="0" applyFont="1" applyFill="1" applyBorder="1" applyAlignment="1">
      <alignment horizontal="right" vertical="center"/>
    </xf>
    <xf numFmtId="183" fontId="86" fillId="0" borderId="50" xfId="37" applyNumberFormat="1" applyFont="1" applyBorder="1" applyAlignment="1">
      <alignment vertical="center"/>
    </xf>
    <xf numFmtId="0" fontId="95" fillId="0" borderId="53" xfId="0" applyFont="1" applyBorder="1">
      <alignment vertical="center"/>
    </xf>
    <xf numFmtId="180" fontId="95" fillId="0" borderId="54" xfId="0" applyNumberFormat="1" applyFont="1" applyBorder="1">
      <alignment vertical="center"/>
    </xf>
    <xf numFmtId="176" fontId="95" fillId="0" borderId="54" xfId="0" applyNumberFormat="1" applyFont="1" applyBorder="1">
      <alignment vertical="center"/>
    </xf>
    <xf numFmtId="41" fontId="95" fillId="0" borderId="54" xfId="41" applyFont="1" applyFill="1" applyBorder="1">
      <alignment vertical="center"/>
    </xf>
    <xf numFmtId="41" fontId="95" fillId="0" borderId="57" xfId="41" applyFont="1" applyFill="1" applyBorder="1" applyAlignment="1">
      <alignment vertical="center"/>
    </xf>
    <xf numFmtId="183" fontId="86" fillId="0" borderId="59" xfId="37" applyNumberFormat="1" applyFont="1" applyBorder="1" applyAlignment="1">
      <alignment vertical="center"/>
    </xf>
    <xf numFmtId="41" fontId="85" fillId="0" borderId="10" xfId="41" applyFont="1" applyBorder="1" applyAlignment="1">
      <alignment vertical="center"/>
    </xf>
    <xf numFmtId="41" fontId="95" fillId="0" borderId="0" xfId="41" applyFont="1">
      <alignment vertical="center"/>
    </xf>
    <xf numFmtId="41" fontId="85" fillId="0" borderId="0" xfId="41" applyFont="1">
      <alignment vertical="center"/>
    </xf>
    <xf numFmtId="41" fontId="85" fillId="32" borderId="10" xfId="41" applyFont="1" applyFill="1" applyBorder="1" applyAlignment="1">
      <alignment vertical="center"/>
    </xf>
    <xf numFmtId="41" fontId="85" fillId="33" borderId="10" xfId="41" quotePrefix="1" applyFont="1" applyFill="1" applyBorder="1" applyAlignment="1">
      <alignment horizontal="center" vertical="center"/>
    </xf>
    <xf numFmtId="41" fontId="85" fillId="33" borderId="10" xfId="41" applyFont="1" applyFill="1" applyBorder="1" applyAlignment="1">
      <alignment horizontal="center" vertical="center"/>
    </xf>
    <xf numFmtId="9" fontId="94" fillId="0" borderId="10" xfId="37" applyFont="1" applyBorder="1">
      <alignment vertical="center"/>
    </xf>
    <xf numFmtId="41" fontId="85" fillId="33" borderId="14" xfId="41" applyFont="1" applyFill="1" applyBorder="1" applyAlignment="1">
      <alignment vertical="center"/>
    </xf>
    <xf numFmtId="176" fontId="105" fillId="34" borderId="10" xfId="0" applyNumberFormat="1" applyFont="1" applyFill="1" applyBorder="1" applyAlignment="1">
      <alignment horizontal="center" vertical="center"/>
    </xf>
    <xf numFmtId="41" fontId="97" fillId="0" borderId="10" xfId="41" applyFont="1" applyBorder="1" applyAlignment="1">
      <alignment vertical="center"/>
    </xf>
    <xf numFmtId="41" fontId="97" fillId="0" borderId="0" xfId="41" applyFont="1" applyBorder="1" applyAlignment="1">
      <alignment vertical="center"/>
    </xf>
    <xf numFmtId="41" fontId="94" fillId="0" borderId="10" xfId="41" applyFont="1" applyFill="1" applyBorder="1" applyAlignment="1">
      <alignment vertical="center"/>
    </xf>
    <xf numFmtId="194" fontId="85" fillId="0" borderId="10" xfId="0" applyNumberFormat="1" applyFont="1" applyBorder="1">
      <alignment vertical="center"/>
    </xf>
    <xf numFmtId="193" fontId="85" fillId="0" borderId="10" xfId="0" applyNumberFormat="1" applyFont="1" applyBorder="1">
      <alignment vertical="center"/>
    </xf>
    <xf numFmtId="186" fontId="85" fillId="0" borderId="10" xfId="0" applyNumberFormat="1" applyFont="1" applyBorder="1">
      <alignment vertical="center"/>
    </xf>
    <xf numFmtId="41" fontId="94" fillId="0" borderId="54" xfId="42" applyFont="1" applyFill="1" applyBorder="1">
      <alignment vertical="center"/>
    </xf>
    <xf numFmtId="0" fontId="85" fillId="0" borderId="54" xfId="0" applyFont="1" applyBorder="1">
      <alignment vertical="center"/>
    </xf>
    <xf numFmtId="43" fontId="85" fillId="0" borderId="10" xfId="41" applyNumberFormat="1" applyFont="1" applyBorder="1">
      <alignment vertical="center"/>
    </xf>
    <xf numFmtId="43" fontId="85" fillId="0" borderId="10" xfId="0" applyNumberFormat="1" applyFont="1" applyBorder="1">
      <alignment vertical="center"/>
    </xf>
    <xf numFmtId="200" fontId="85" fillId="0" borderId="54" xfId="0" applyNumberFormat="1" applyFont="1" applyBorder="1">
      <alignment vertical="center"/>
    </xf>
    <xf numFmtId="199" fontId="85" fillId="0" borderId="10" xfId="55" applyNumberFormat="1" applyFont="1" applyBorder="1">
      <alignment vertical="center"/>
    </xf>
    <xf numFmtId="196" fontId="85" fillId="0" borderId="10" xfId="55" applyNumberFormat="1" applyFont="1" applyBorder="1">
      <alignment vertical="center"/>
    </xf>
    <xf numFmtId="191" fontId="85" fillId="0" borderId="10" xfId="43" applyNumberFormat="1" applyFont="1" applyFill="1" applyBorder="1" applyAlignment="1">
      <alignment vertical="center"/>
    </xf>
    <xf numFmtId="0" fontId="107" fillId="27" borderId="49" xfId="55" applyFont="1" applyFill="1" applyBorder="1">
      <alignment vertical="center"/>
    </xf>
    <xf numFmtId="199" fontId="107" fillId="27" borderId="10" xfId="55" applyNumberFormat="1" applyFont="1" applyFill="1" applyBorder="1">
      <alignment vertical="center"/>
    </xf>
    <xf numFmtId="191" fontId="107" fillId="29" borderId="10" xfId="43" quotePrefix="1" applyNumberFormat="1" applyFont="1" applyFill="1" applyBorder="1" applyAlignment="1">
      <alignment vertical="center"/>
    </xf>
    <xf numFmtId="182" fontId="107" fillId="27" borderId="10" xfId="55" applyNumberFormat="1" applyFont="1" applyFill="1" applyBorder="1">
      <alignment vertical="center"/>
    </xf>
    <xf numFmtId="191" fontId="107" fillId="27" borderId="10" xfId="43" applyNumberFormat="1" applyFont="1" applyFill="1" applyBorder="1" applyAlignment="1">
      <alignment vertical="center"/>
    </xf>
    <xf numFmtId="190" fontId="108" fillId="0" borderId="10" xfId="56" applyFont="1" applyFill="1" applyBorder="1" applyAlignment="1">
      <alignment horizontal="right" vertical="center"/>
    </xf>
    <xf numFmtId="41" fontId="107" fillId="0" borderId="0" xfId="42" applyFont="1" applyFill="1" applyBorder="1" applyAlignment="1">
      <alignment vertical="center"/>
    </xf>
    <xf numFmtId="189" fontId="110" fillId="27" borderId="50" xfId="55" applyNumberFormat="1" applyFont="1" applyFill="1" applyBorder="1">
      <alignment vertical="center"/>
    </xf>
    <xf numFmtId="0" fontId="110" fillId="0" borderId="0" xfId="55" applyFont="1">
      <alignment vertical="center"/>
    </xf>
    <xf numFmtId="41" fontId="85" fillId="33" borderId="11" xfId="41" quotePrefix="1" applyFont="1" applyFill="1" applyBorder="1" applyAlignment="1">
      <alignment horizontal="center" vertical="center"/>
    </xf>
    <xf numFmtId="41" fontId="85" fillId="33" borderId="14" xfId="41" quotePrefix="1" applyFont="1" applyFill="1" applyBorder="1" applyAlignment="1">
      <alignment horizontal="center" vertical="center"/>
    </xf>
    <xf numFmtId="41" fontId="85" fillId="0" borderId="11" xfId="41" applyFont="1" applyBorder="1" applyAlignment="1">
      <alignment vertical="center"/>
    </xf>
    <xf numFmtId="41" fontId="85" fillId="0" borderId="12" xfId="41" applyFont="1" applyBorder="1" applyAlignment="1">
      <alignment vertical="center"/>
    </xf>
    <xf numFmtId="178" fontId="86" fillId="0" borderId="11" xfId="0" applyNumberFormat="1" applyFont="1" applyBorder="1">
      <alignment vertical="center"/>
    </xf>
    <xf numFmtId="178" fontId="86" fillId="0" borderId="14" xfId="0" applyNumberFormat="1" applyFont="1" applyBorder="1">
      <alignment vertical="center"/>
    </xf>
    <xf numFmtId="41" fontId="97" fillId="0" borderId="15" xfId="42" applyFont="1" applyFill="1" applyBorder="1" applyAlignment="1">
      <alignment horizontal="center" vertical="center"/>
    </xf>
    <xf numFmtId="41" fontId="97" fillId="0" borderId="16" xfId="42" applyFont="1" applyFill="1" applyBorder="1" applyAlignment="1">
      <alignment horizontal="center" vertical="center"/>
    </xf>
    <xf numFmtId="178" fontId="86" fillId="27" borderId="11" xfId="55" applyNumberFormat="1" applyFont="1" applyFill="1" applyBorder="1">
      <alignment vertical="center"/>
    </xf>
    <xf numFmtId="178" fontId="86" fillId="27" borderId="14" xfId="55" applyNumberFormat="1" applyFont="1" applyFill="1" applyBorder="1">
      <alignment vertical="center"/>
    </xf>
    <xf numFmtId="0" fontId="85" fillId="26" borderId="11" xfId="0" applyFont="1" applyFill="1" applyBorder="1" applyAlignment="1">
      <alignment horizontal="center" vertical="center"/>
    </xf>
    <xf numFmtId="0" fontId="85" fillId="26" borderId="14" xfId="0" applyFont="1" applyFill="1" applyBorder="1" applyAlignment="1">
      <alignment horizontal="center" vertical="center"/>
    </xf>
    <xf numFmtId="41" fontId="85" fillId="0" borderId="11" xfId="41" applyFont="1" applyFill="1" applyBorder="1" applyAlignment="1">
      <alignment vertical="center"/>
    </xf>
    <xf numFmtId="41" fontId="85" fillId="0" borderId="12" xfId="41" applyFont="1" applyFill="1" applyBorder="1" applyAlignment="1">
      <alignment vertical="center"/>
    </xf>
    <xf numFmtId="189" fontId="93" fillId="0" borderId="11" xfId="0" applyNumberFormat="1" applyFont="1" applyBorder="1">
      <alignment vertical="center"/>
    </xf>
    <xf numFmtId="189" fontId="93" fillId="0" borderId="14" xfId="0" applyNumberFormat="1" applyFont="1" applyBorder="1">
      <alignment vertical="center"/>
    </xf>
    <xf numFmtId="41" fontId="97" fillId="0" borderId="11" xfId="41" applyFont="1" applyBorder="1" applyAlignment="1">
      <alignment vertical="center"/>
    </xf>
    <xf numFmtId="41" fontId="97" fillId="0" borderId="12" xfId="41" applyFont="1" applyBorder="1" applyAlignment="1">
      <alignment vertical="center"/>
    </xf>
    <xf numFmtId="178" fontId="85" fillId="26" borderId="11" xfId="0" applyNumberFormat="1" applyFont="1" applyFill="1" applyBorder="1" applyAlignment="1">
      <alignment horizontal="center" vertical="center"/>
    </xf>
    <xf numFmtId="178" fontId="85" fillId="26" borderId="12" xfId="0" applyNumberFormat="1" applyFont="1" applyFill="1" applyBorder="1" applyAlignment="1">
      <alignment horizontal="center" vertical="center"/>
    </xf>
    <xf numFmtId="41" fontId="95" fillId="0" borderId="11" xfId="41" applyFont="1" applyBorder="1" applyAlignment="1">
      <alignment vertical="center"/>
    </xf>
    <xf numFmtId="41" fontId="95" fillId="0" borderId="12" xfId="41" applyFont="1" applyBorder="1" applyAlignment="1">
      <alignment vertical="center"/>
    </xf>
    <xf numFmtId="189" fontId="76" fillId="0" borderId="11" xfId="0" applyNumberFormat="1" applyFont="1" applyBorder="1">
      <alignment vertical="center"/>
    </xf>
    <xf numFmtId="189" fontId="76" fillId="0" borderId="14" xfId="0" applyNumberFormat="1" applyFont="1" applyBorder="1">
      <alignment vertical="center"/>
    </xf>
    <xf numFmtId="178" fontId="86" fillId="0" borderId="55" xfId="0" quotePrefix="1" applyNumberFormat="1" applyFont="1" applyBorder="1">
      <alignment vertical="center"/>
    </xf>
    <xf numFmtId="178" fontId="86" fillId="0" borderId="58" xfId="0" quotePrefix="1" applyNumberFormat="1" applyFont="1" applyBorder="1">
      <alignment vertical="center"/>
    </xf>
    <xf numFmtId="0" fontId="85" fillId="26" borderId="11" xfId="55" applyFont="1" applyFill="1" applyBorder="1" applyAlignment="1">
      <alignment horizontal="center" vertical="center"/>
    </xf>
    <xf numFmtId="0" fontId="85" fillId="26" borderId="14" xfId="55" applyFont="1" applyFill="1" applyBorder="1" applyAlignment="1">
      <alignment horizontal="center" vertical="center"/>
    </xf>
    <xf numFmtId="0" fontId="85" fillId="26" borderId="50" xfId="55" applyFont="1" applyFill="1" applyBorder="1" applyAlignment="1">
      <alignment horizontal="center" vertical="center"/>
    </xf>
    <xf numFmtId="178" fontId="86" fillId="0" borderId="50" xfId="0" applyNumberFormat="1" applyFont="1" applyBorder="1">
      <alignment vertical="center"/>
    </xf>
    <xf numFmtId="178" fontId="102" fillId="26" borderId="63" xfId="0" applyNumberFormat="1" applyFont="1" applyFill="1" applyBorder="1" applyAlignment="1">
      <alignment horizontal="center" vertical="center"/>
    </xf>
    <xf numFmtId="178" fontId="102" fillId="26" borderId="62" xfId="0" applyNumberFormat="1" applyFont="1" applyFill="1" applyBorder="1" applyAlignment="1">
      <alignment horizontal="center" vertical="center"/>
    </xf>
    <xf numFmtId="0" fontId="102" fillId="26" borderId="63" xfId="0" applyFont="1" applyFill="1" applyBorder="1" applyAlignment="1">
      <alignment horizontal="center" vertical="center"/>
    </xf>
    <xf numFmtId="0" fontId="102" fillId="26" borderId="64" xfId="0" applyFont="1" applyFill="1" applyBorder="1" applyAlignment="1">
      <alignment horizontal="center" vertical="center"/>
    </xf>
    <xf numFmtId="189" fontId="86" fillId="0" borderId="11" xfId="0" applyNumberFormat="1" applyFont="1" applyBorder="1">
      <alignment vertical="center"/>
    </xf>
    <xf numFmtId="189" fontId="86" fillId="0" borderId="14" xfId="0" applyNumberFormat="1" applyFont="1" applyBorder="1">
      <alignment vertical="center"/>
    </xf>
    <xf numFmtId="189" fontId="86" fillId="0" borderId="50" xfId="0" applyNumberFormat="1" applyFont="1" applyBorder="1">
      <alignment vertical="center"/>
    </xf>
    <xf numFmtId="41" fontId="85" fillId="0" borderId="10" xfId="41" applyFont="1" applyBorder="1" applyAlignment="1">
      <alignment vertical="center"/>
    </xf>
    <xf numFmtId="189" fontId="86" fillId="0" borderId="55" xfId="0" applyNumberFormat="1" applyFont="1" applyBorder="1">
      <alignment vertical="center"/>
    </xf>
    <xf numFmtId="189" fontId="86" fillId="0" borderId="58" xfId="0" applyNumberFormat="1" applyFont="1" applyBorder="1">
      <alignment vertical="center"/>
    </xf>
    <xf numFmtId="189" fontId="86" fillId="0" borderId="59" xfId="0" applyNumberFormat="1" applyFont="1" applyBorder="1">
      <alignment vertical="center"/>
    </xf>
    <xf numFmtId="41" fontId="85" fillId="0" borderId="10" xfId="42" applyFont="1" applyFill="1" applyBorder="1" applyAlignment="1">
      <alignment horizontal="center" vertical="center"/>
    </xf>
    <xf numFmtId="41" fontId="97" fillId="0" borderId="10" xfId="42" applyFont="1" applyFill="1" applyBorder="1" applyAlignment="1">
      <alignment horizontal="center" vertical="center"/>
    </xf>
    <xf numFmtId="178" fontId="85" fillId="26" borderId="63" xfId="0" applyNumberFormat="1" applyFont="1" applyFill="1" applyBorder="1" applyAlignment="1">
      <alignment horizontal="center" vertical="center"/>
    </xf>
    <xf numFmtId="178" fontId="85" fillId="26" borderId="62" xfId="0" applyNumberFormat="1" applyFont="1" applyFill="1" applyBorder="1" applyAlignment="1">
      <alignment horizontal="center" vertical="center"/>
    </xf>
    <xf numFmtId="41" fontId="95" fillId="0" borderId="55" xfId="41" applyFont="1" applyBorder="1" applyAlignment="1">
      <alignment vertical="center"/>
    </xf>
    <xf numFmtId="41" fontId="95" fillId="0" borderId="56" xfId="41" applyFont="1" applyBorder="1" applyAlignment="1">
      <alignment vertical="center"/>
    </xf>
    <xf numFmtId="41" fontId="95" fillId="0" borderId="10" xfId="41" applyFont="1" applyBorder="1" applyAlignment="1">
      <alignment vertical="center"/>
    </xf>
    <xf numFmtId="195" fontId="86" fillId="0" borderId="11" xfId="0" applyNumberFormat="1" applyFont="1" applyBorder="1">
      <alignment vertical="center"/>
    </xf>
    <xf numFmtId="195" fontId="86" fillId="0" borderId="14" xfId="0" applyNumberFormat="1" applyFont="1" applyBorder="1">
      <alignment vertical="center"/>
    </xf>
    <xf numFmtId="195" fontId="86" fillId="0" borderId="50" xfId="0" applyNumberFormat="1" applyFont="1" applyBorder="1">
      <alignment vertical="center"/>
    </xf>
    <xf numFmtId="184" fontId="89" fillId="25" borderId="19" xfId="41" applyNumberFormat="1" applyFont="1" applyFill="1" applyBorder="1" applyAlignment="1">
      <alignment horizontal="center" vertical="center"/>
    </xf>
    <xf numFmtId="184" fontId="89" fillId="25" borderId="20" xfId="41" applyNumberFormat="1" applyFont="1" applyFill="1" applyBorder="1" applyAlignment="1">
      <alignment horizontal="center" vertical="center"/>
    </xf>
    <xf numFmtId="184" fontId="89" fillId="25" borderId="67" xfId="41" applyNumberFormat="1" applyFont="1" applyFill="1" applyBorder="1" applyAlignment="1">
      <alignment horizontal="center" vertical="center"/>
    </xf>
    <xf numFmtId="41" fontId="95" fillId="0" borderId="10" xfId="41" applyFont="1" applyBorder="1" applyAlignment="1">
      <alignment horizontal="left" vertical="center"/>
    </xf>
    <xf numFmtId="0" fontId="85" fillId="0" borderId="19" xfId="0" applyFont="1" applyBorder="1" applyAlignment="1">
      <alignment horizontal="center" vertical="center"/>
    </xf>
    <xf numFmtId="0" fontId="85" fillId="0" borderId="20" xfId="0" applyFont="1" applyBorder="1" applyAlignment="1">
      <alignment horizontal="center" vertical="center"/>
    </xf>
    <xf numFmtId="0" fontId="85" fillId="0" borderId="21" xfId="0" applyFont="1" applyBorder="1" applyAlignment="1">
      <alignment horizontal="center" vertical="center"/>
    </xf>
    <xf numFmtId="0" fontId="85" fillId="26" borderId="60" xfId="0" applyFont="1" applyFill="1" applyBorder="1" applyAlignment="1">
      <alignment horizontal="center" vertical="center"/>
    </xf>
    <xf numFmtId="0" fontId="85" fillId="26" borderId="52" xfId="0" applyFont="1" applyFill="1" applyBorder="1" applyAlignment="1">
      <alignment horizontal="center" vertical="center"/>
    </xf>
    <xf numFmtId="0" fontId="85" fillId="26" borderId="66" xfId="0" applyFont="1" applyFill="1" applyBorder="1" applyAlignment="1">
      <alignment horizontal="center" vertical="center"/>
    </xf>
    <xf numFmtId="0" fontId="85" fillId="26" borderId="63" xfId="0" applyFont="1" applyFill="1" applyBorder="1" applyAlignment="1">
      <alignment horizontal="center" vertical="center"/>
    </xf>
    <xf numFmtId="0" fontId="85" fillId="26" borderId="64" xfId="0" applyFont="1" applyFill="1" applyBorder="1" applyAlignment="1">
      <alignment horizontal="center" vertical="center"/>
    </xf>
    <xf numFmtId="0" fontId="85" fillId="26" borderId="65" xfId="0" applyFont="1" applyFill="1" applyBorder="1" applyAlignment="1">
      <alignment horizontal="center" vertical="center"/>
    </xf>
    <xf numFmtId="185" fontId="86" fillId="0" borderId="11" xfId="0" applyNumberFormat="1" applyFont="1" applyBorder="1">
      <alignment vertical="center"/>
    </xf>
    <xf numFmtId="185" fontId="86" fillId="0" borderId="14" xfId="0" applyNumberFormat="1" applyFont="1" applyBorder="1">
      <alignment vertical="center"/>
    </xf>
    <xf numFmtId="185" fontId="86" fillId="0" borderId="50" xfId="0" applyNumberFormat="1" applyFont="1" applyBorder="1">
      <alignment vertical="center"/>
    </xf>
    <xf numFmtId="41" fontId="85" fillId="0" borderId="10" xfId="41" applyFont="1" applyBorder="1" applyAlignment="1">
      <alignment horizontal="center" vertical="center"/>
    </xf>
    <xf numFmtId="189" fontId="101" fillId="0" borderId="15" xfId="0" applyNumberFormat="1" applyFont="1" applyBorder="1" applyAlignment="1">
      <alignment horizontal="center" vertical="center" wrapText="1"/>
    </xf>
    <xf numFmtId="189" fontId="101" fillId="0" borderId="70" xfId="0" applyNumberFormat="1" applyFont="1" applyBorder="1" applyAlignment="1">
      <alignment horizontal="center" vertical="center" wrapText="1"/>
    </xf>
    <xf numFmtId="189" fontId="101" fillId="0" borderId="71" xfId="0" applyNumberFormat="1" applyFont="1" applyBorder="1" applyAlignment="1">
      <alignment horizontal="center" vertical="center" wrapText="1"/>
    </xf>
    <xf numFmtId="189" fontId="101" fillId="0" borderId="17" xfId="0" applyNumberFormat="1" applyFont="1" applyBorder="1" applyAlignment="1">
      <alignment horizontal="center" vertical="center" wrapText="1"/>
    </xf>
    <xf numFmtId="189" fontId="101" fillId="0" borderId="73" xfId="0" applyNumberFormat="1" applyFont="1" applyBorder="1" applyAlignment="1">
      <alignment horizontal="center" vertical="center" wrapText="1"/>
    </xf>
    <xf numFmtId="189" fontId="101" fillId="0" borderId="74" xfId="0" applyNumberFormat="1" applyFont="1" applyBorder="1" applyAlignment="1">
      <alignment horizontal="center" vertical="center" wrapText="1"/>
    </xf>
    <xf numFmtId="0" fontId="85" fillId="0" borderId="10" xfId="0" applyFont="1" applyBorder="1" applyAlignment="1">
      <alignment horizontal="center" vertical="center"/>
    </xf>
    <xf numFmtId="41" fontId="85" fillId="0" borderId="54" xfId="41" applyFont="1" applyBorder="1" applyAlignment="1">
      <alignment horizontal="center" vertical="center"/>
    </xf>
    <xf numFmtId="189" fontId="101" fillId="0" borderId="11" xfId="0" applyNumberFormat="1" applyFont="1" applyBorder="1">
      <alignment vertical="center"/>
    </xf>
    <xf numFmtId="189" fontId="101" fillId="0" borderId="14" xfId="0" applyNumberFormat="1" applyFont="1" applyBorder="1">
      <alignment vertical="center"/>
    </xf>
    <xf numFmtId="189" fontId="101" fillId="0" borderId="50" xfId="0" applyNumberFormat="1" applyFont="1" applyBorder="1">
      <alignment vertical="center"/>
    </xf>
    <xf numFmtId="0" fontId="85" fillId="27" borderId="69" xfId="55" applyFont="1" applyFill="1" applyBorder="1">
      <alignment vertical="center"/>
    </xf>
    <xf numFmtId="0" fontId="85" fillId="27" borderId="58" xfId="55" applyFont="1" applyFill="1" applyBorder="1">
      <alignment vertical="center"/>
    </xf>
    <xf numFmtId="0" fontId="85" fillId="27" borderId="56" xfId="55" applyFont="1" applyFill="1" applyBorder="1">
      <alignment vertical="center"/>
    </xf>
    <xf numFmtId="178" fontId="85" fillId="27" borderId="55" xfId="41" applyNumberFormat="1" applyFont="1" applyFill="1" applyBorder="1" applyAlignment="1">
      <alignment vertical="center"/>
    </xf>
    <xf numFmtId="178" fontId="85" fillId="27" borderId="56" xfId="41" applyNumberFormat="1" applyFont="1" applyFill="1" applyBorder="1" applyAlignment="1">
      <alignment vertical="center"/>
    </xf>
    <xf numFmtId="178" fontId="86" fillId="27" borderId="55" xfId="55" applyNumberFormat="1" applyFont="1" applyFill="1" applyBorder="1">
      <alignment vertical="center"/>
    </xf>
    <xf numFmtId="178" fontId="86" fillId="27" borderId="58" xfId="55" applyNumberFormat="1" applyFont="1" applyFill="1" applyBorder="1">
      <alignment vertical="center"/>
    </xf>
    <xf numFmtId="178" fontId="86" fillId="27" borderId="59" xfId="55" applyNumberFormat="1" applyFont="1" applyFill="1" applyBorder="1">
      <alignment vertical="center"/>
    </xf>
    <xf numFmtId="41" fontId="107" fillId="27" borderId="15" xfId="42" applyFont="1" applyFill="1" applyBorder="1" applyAlignment="1">
      <alignment horizontal="center" vertical="center"/>
    </xf>
    <xf numFmtId="41" fontId="107" fillId="27" borderId="16" xfId="42" applyFont="1" applyFill="1" applyBorder="1" applyAlignment="1">
      <alignment horizontal="center" vertical="center"/>
    </xf>
    <xf numFmtId="189" fontId="86" fillId="0" borderId="11" xfId="54" applyNumberFormat="1" applyFont="1" applyBorder="1">
      <alignment vertical="center"/>
    </xf>
    <xf numFmtId="189" fontId="86" fillId="0" borderId="14" xfId="54" applyNumberFormat="1" applyFont="1" applyBorder="1">
      <alignment vertical="center"/>
    </xf>
    <xf numFmtId="189" fontId="86" fillId="0" borderId="50" xfId="54" applyNumberFormat="1" applyFont="1" applyBorder="1">
      <alignment vertical="center"/>
    </xf>
    <xf numFmtId="189" fontId="101" fillId="0" borderId="11" xfId="54" applyNumberFormat="1" applyFont="1" applyBorder="1" applyAlignment="1">
      <alignment horizontal="left" vertical="center"/>
    </xf>
    <xf numFmtId="189" fontId="101" fillId="0" borderId="14" xfId="54" applyNumberFormat="1" applyFont="1" applyBorder="1" applyAlignment="1">
      <alignment horizontal="left" vertical="center"/>
    </xf>
    <xf numFmtId="189" fontId="101" fillId="0" borderId="50" xfId="54" applyNumberFormat="1" applyFont="1" applyBorder="1" applyAlignment="1">
      <alignment horizontal="left" vertical="center"/>
    </xf>
    <xf numFmtId="178" fontId="109" fillId="27" borderId="11" xfId="55" applyNumberFormat="1" applyFont="1" applyFill="1" applyBorder="1">
      <alignment vertical="center"/>
    </xf>
    <xf numFmtId="178" fontId="109" fillId="27" borderId="14" xfId="55" applyNumberFormat="1" applyFont="1" applyFill="1" applyBorder="1">
      <alignment vertical="center"/>
    </xf>
    <xf numFmtId="0" fontId="85" fillId="26" borderId="51" xfId="55" applyFont="1" applyFill="1" applyBorder="1">
      <alignment vertical="center"/>
    </xf>
    <xf numFmtId="0" fontId="85" fillId="26" borderId="14" xfId="55" applyFont="1" applyFill="1" applyBorder="1">
      <alignment vertical="center"/>
    </xf>
    <xf numFmtId="0" fontId="85" fillId="26" borderId="12" xfId="55" applyFont="1" applyFill="1" applyBorder="1">
      <alignment vertical="center"/>
    </xf>
    <xf numFmtId="178" fontId="101" fillId="0" borderId="11" xfId="0" quotePrefix="1" applyNumberFormat="1" applyFont="1" applyBorder="1">
      <alignment vertical="center"/>
    </xf>
    <xf numFmtId="178" fontId="101" fillId="0" borderId="14" xfId="0" quotePrefix="1" applyNumberFormat="1" applyFont="1" applyBorder="1">
      <alignment vertical="center"/>
    </xf>
    <xf numFmtId="178" fontId="101" fillId="0" borderId="50" xfId="0" quotePrefix="1" applyNumberFormat="1" applyFont="1" applyBorder="1">
      <alignment vertical="center"/>
    </xf>
    <xf numFmtId="178" fontId="86" fillId="27" borderId="50" xfId="55" applyNumberFormat="1" applyFont="1" applyFill="1" applyBorder="1">
      <alignment vertical="center"/>
    </xf>
    <xf numFmtId="41" fontId="85" fillId="0" borderId="15" xfId="42" applyFont="1" applyFill="1" applyBorder="1" applyAlignment="1">
      <alignment horizontal="center" vertical="center"/>
    </xf>
    <xf numFmtId="41" fontId="85" fillId="0" borderId="16" xfId="42" applyFont="1" applyFill="1" applyBorder="1" applyAlignment="1">
      <alignment horizontal="center" vertical="center"/>
    </xf>
    <xf numFmtId="178" fontId="76" fillId="27" borderId="11" xfId="55" applyNumberFormat="1" applyFont="1" applyFill="1" applyBorder="1">
      <alignment vertical="center"/>
    </xf>
    <xf numFmtId="178" fontId="76" fillId="27" borderId="14" xfId="55" applyNumberFormat="1" applyFont="1" applyFill="1" applyBorder="1">
      <alignment vertical="center"/>
    </xf>
    <xf numFmtId="0" fontId="111" fillId="28" borderId="44" xfId="0" applyFont="1" applyFill="1" applyBorder="1" applyAlignment="1">
      <alignment horizontal="center" vertical="center"/>
    </xf>
    <xf numFmtId="0" fontId="111" fillId="28" borderId="45" xfId="0" applyFont="1" applyFill="1" applyBorder="1" applyAlignment="1">
      <alignment horizontal="center" vertical="center"/>
    </xf>
    <xf numFmtId="0" fontId="111" fillId="28" borderId="46" xfId="0" applyFont="1" applyFill="1" applyBorder="1" applyAlignment="1">
      <alignment horizontal="center" vertical="center"/>
    </xf>
    <xf numFmtId="0" fontId="85" fillId="0" borderId="11" xfId="0" applyFont="1" applyBorder="1" applyAlignment="1">
      <alignment horizontal="center" vertical="center"/>
    </xf>
    <xf numFmtId="0" fontId="85" fillId="0" borderId="12" xfId="0" applyFont="1" applyBorder="1" applyAlignment="1">
      <alignment horizontal="center" vertical="center"/>
    </xf>
    <xf numFmtId="0" fontId="85" fillId="24" borderId="11" xfId="0" applyFont="1" applyFill="1" applyBorder="1" applyAlignment="1">
      <alignment horizontal="center" vertical="center"/>
    </xf>
    <xf numFmtId="0" fontId="85" fillId="24" borderId="12" xfId="0" applyFont="1" applyFill="1" applyBorder="1" applyAlignment="1">
      <alignment horizontal="center" vertical="center"/>
    </xf>
    <xf numFmtId="41" fontId="96" fillId="0" borderId="11" xfId="41" applyFont="1" applyBorder="1" applyAlignment="1">
      <alignment vertical="center"/>
    </xf>
    <xf numFmtId="41" fontId="96" fillId="0" borderId="12" xfId="41" applyFont="1" applyBorder="1" applyAlignment="1">
      <alignment vertical="center"/>
    </xf>
    <xf numFmtId="41" fontId="104" fillId="0" borderId="13" xfId="41" applyFont="1" applyBorder="1" applyAlignment="1">
      <alignment vertical="center"/>
    </xf>
    <xf numFmtId="41" fontId="85" fillId="0" borderId="0" xfId="41" applyFont="1" applyAlignment="1">
      <alignment vertical="center"/>
    </xf>
    <xf numFmtId="41" fontId="104" fillId="0" borderId="0" xfId="41" applyFont="1" applyAlignment="1">
      <alignment vertical="center"/>
    </xf>
    <xf numFmtId="41" fontId="85" fillId="32" borderId="11" xfId="41" applyFont="1" applyFill="1" applyBorder="1" applyAlignment="1">
      <alignment horizontal="center" vertical="center"/>
    </xf>
    <xf numFmtId="41" fontId="85" fillId="32" borderId="12" xfId="41" applyFont="1" applyFill="1" applyBorder="1" applyAlignment="1">
      <alignment horizontal="center" vertical="center"/>
    </xf>
    <xf numFmtId="41" fontId="85" fillId="33" borderId="11" xfId="41" applyFont="1" applyFill="1" applyBorder="1" applyAlignment="1">
      <alignment horizontal="center" vertical="center"/>
    </xf>
    <xf numFmtId="41" fontId="85" fillId="33" borderId="12" xfId="41" applyFont="1" applyFill="1" applyBorder="1" applyAlignment="1">
      <alignment horizontal="center" vertical="center"/>
    </xf>
    <xf numFmtId="41" fontId="95" fillId="0" borderId="15" xfId="41" applyFont="1" applyBorder="1" applyAlignment="1">
      <alignment vertical="center"/>
    </xf>
    <xf numFmtId="41" fontId="95" fillId="0" borderId="16" xfId="41" applyFont="1" applyBorder="1" applyAlignment="1">
      <alignment vertical="center"/>
    </xf>
    <xf numFmtId="41" fontId="95" fillId="0" borderId="17" xfId="41" applyFont="1" applyBorder="1" applyAlignment="1">
      <alignment vertical="center"/>
    </xf>
    <xf numFmtId="41" fontId="95" fillId="0" borderId="18" xfId="41" applyFont="1" applyBorder="1" applyAlignment="1">
      <alignment vertical="center"/>
    </xf>
    <xf numFmtId="41" fontId="44" fillId="0" borderId="11" xfId="41" applyFont="1" applyBorder="1" applyAlignment="1">
      <alignment vertical="center"/>
    </xf>
    <xf numFmtId="41" fontId="44" fillId="0" borderId="12" xfId="41" applyFont="1" applyBorder="1" applyAlignment="1">
      <alignment vertical="center"/>
    </xf>
    <xf numFmtId="178" fontId="45" fillId="0" borderId="11" xfId="0" applyNumberFormat="1" applyFont="1" applyBorder="1">
      <alignment vertical="center"/>
    </xf>
    <xf numFmtId="178" fontId="45" fillId="0" borderId="14" xfId="0" applyNumberFormat="1" applyFont="1" applyBorder="1">
      <alignment vertical="center"/>
    </xf>
    <xf numFmtId="41" fontId="44" fillId="0" borderId="55" xfId="41" applyFont="1" applyBorder="1" applyAlignment="1">
      <alignment vertical="center"/>
    </xf>
    <xf numFmtId="41" fontId="44" fillId="0" borderId="56" xfId="41" applyFont="1" applyBorder="1" applyAlignment="1">
      <alignment vertical="center"/>
    </xf>
    <xf numFmtId="178" fontId="45" fillId="0" borderId="55" xfId="0" quotePrefix="1" applyNumberFormat="1" applyFont="1" applyBorder="1">
      <alignment vertical="center"/>
    </xf>
    <xf numFmtId="178" fontId="45" fillId="0" borderId="58" xfId="0" quotePrefix="1" applyNumberFormat="1" applyFont="1" applyBorder="1">
      <alignment vertical="center"/>
    </xf>
    <xf numFmtId="41" fontId="24" fillId="0" borderId="11" xfId="41" applyFont="1" applyBorder="1" applyAlignment="1">
      <alignment vertical="center"/>
    </xf>
    <xf numFmtId="41" fontId="24" fillId="0" borderId="12" xfId="41" applyFont="1" applyBorder="1" applyAlignment="1">
      <alignment vertical="center"/>
    </xf>
    <xf numFmtId="189" fontId="45" fillId="0" borderId="11" xfId="0" applyNumberFormat="1" applyFont="1" applyBorder="1">
      <alignment vertical="center"/>
    </xf>
    <xf numFmtId="189" fontId="45" fillId="0" borderId="14" xfId="0" applyNumberFormat="1" applyFont="1" applyBorder="1">
      <alignment vertical="center"/>
    </xf>
    <xf numFmtId="189" fontId="45" fillId="0" borderId="50" xfId="0" applyNumberFormat="1" applyFont="1" applyBorder="1">
      <alignment vertical="center"/>
    </xf>
    <xf numFmtId="41" fontId="24" fillId="0" borderId="55" xfId="41" applyFont="1" applyBorder="1" applyAlignment="1">
      <alignment vertical="center"/>
    </xf>
    <xf numFmtId="41" fontId="24" fillId="0" borderId="56" xfId="41" applyFont="1" applyBorder="1" applyAlignment="1">
      <alignment vertical="center"/>
    </xf>
    <xf numFmtId="189" fontId="45" fillId="0" borderId="55" xfId="0" applyNumberFormat="1" applyFont="1" applyBorder="1">
      <alignment vertical="center"/>
    </xf>
    <xf numFmtId="189" fontId="45" fillId="0" borderId="58" xfId="0" applyNumberFormat="1" applyFont="1" applyBorder="1">
      <alignment vertical="center"/>
    </xf>
    <xf numFmtId="189" fontId="45" fillId="0" borderId="59" xfId="0" applyNumberFormat="1" applyFont="1" applyBorder="1">
      <alignment vertical="center"/>
    </xf>
    <xf numFmtId="178" fontId="50" fillId="26" borderId="63" xfId="0" applyNumberFormat="1" applyFont="1" applyFill="1" applyBorder="1" applyAlignment="1">
      <alignment horizontal="center" vertical="center"/>
    </xf>
    <xf numFmtId="178" fontId="50" fillId="26" borderId="62" xfId="0" applyNumberFormat="1" applyFont="1" applyFill="1" applyBorder="1" applyAlignment="1">
      <alignment horizontal="center" vertical="center"/>
    </xf>
    <xf numFmtId="0" fontId="50" fillId="26" borderId="63" xfId="0" applyFont="1" applyFill="1" applyBorder="1" applyAlignment="1">
      <alignment horizontal="center" vertical="center"/>
    </xf>
    <xf numFmtId="0" fontId="50" fillId="26" borderId="64" xfId="0" applyFont="1" applyFill="1" applyBorder="1" applyAlignment="1">
      <alignment horizontal="center" vertical="center"/>
    </xf>
    <xf numFmtId="195" fontId="45" fillId="0" borderId="11" xfId="0" applyNumberFormat="1" applyFont="1" applyBorder="1">
      <alignment vertical="center"/>
    </xf>
    <xf numFmtId="195" fontId="45" fillId="0" borderId="14" xfId="0" applyNumberFormat="1" applyFont="1" applyBorder="1">
      <alignment vertical="center"/>
    </xf>
    <xf numFmtId="195" fontId="45" fillId="0" borderId="50" xfId="0" applyNumberFormat="1" applyFont="1" applyBorder="1">
      <alignment vertical="center"/>
    </xf>
    <xf numFmtId="41" fontId="24" fillId="0" borderId="11" xfId="41" applyFont="1" applyBorder="1" applyAlignment="1">
      <alignment horizontal="left" vertical="center"/>
    </xf>
    <xf numFmtId="41" fontId="24" fillId="0" borderId="12" xfId="41" applyFont="1" applyBorder="1" applyAlignment="1">
      <alignment horizontal="left" vertical="center"/>
    </xf>
    <xf numFmtId="185" fontId="45" fillId="0" borderId="11" xfId="0" applyNumberFormat="1" applyFont="1" applyBorder="1">
      <alignment vertical="center"/>
    </xf>
    <xf numFmtId="185" fontId="45" fillId="0" borderId="14" xfId="0" applyNumberFormat="1" applyFont="1" applyBorder="1">
      <alignment vertical="center"/>
    </xf>
    <xf numFmtId="185" fontId="45" fillId="0" borderId="50" xfId="0" applyNumberFormat="1" applyFont="1" applyBorder="1">
      <alignment vertical="center"/>
    </xf>
    <xf numFmtId="0" fontId="24" fillId="27" borderId="69" xfId="55" applyFont="1" applyFill="1" applyBorder="1">
      <alignment vertical="center"/>
    </xf>
    <xf numFmtId="0" fontId="24" fillId="27" borderId="58" xfId="55" applyFont="1" applyFill="1" applyBorder="1">
      <alignment vertical="center"/>
    </xf>
    <xf numFmtId="0" fontId="24" fillId="27" borderId="56" xfId="55" applyFont="1" applyFill="1" applyBorder="1">
      <alignment vertical="center"/>
    </xf>
    <xf numFmtId="178" fontId="24" fillId="27" borderId="55" xfId="41" applyNumberFormat="1" applyFont="1" applyFill="1" applyBorder="1" applyAlignment="1">
      <alignment vertical="center"/>
    </xf>
    <xf numFmtId="178" fontId="24" fillId="27" borderId="56" xfId="41" applyNumberFormat="1" applyFont="1" applyFill="1" applyBorder="1" applyAlignment="1">
      <alignment vertical="center"/>
    </xf>
    <xf numFmtId="178" fontId="45" fillId="27" borderId="55" xfId="55" applyNumberFormat="1" applyFont="1" applyFill="1" applyBorder="1">
      <alignment vertical="center"/>
    </xf>
    <xf numFmtId="178" fontId="45" fillId="27" borderId="58" xfId="55" applyNumberFormat="1" applyFont="1" applyFill="1" applyBorder="1">
      <alignment vertical="center"/>
    </xf>
    <xf numFmtId="178" fontId="45" fillId="27" borderId="59" xfId="55" applyNumberFormat="1" applyFont="1" applyFill="1" applyBorder="1">
      <alignment vertical="center"/>
    </xf>
    <xf numFmtId="0" fontId="24" fillId="26" borderId="60" xfId="0" applyFont="1" applyFill="1" applyBorder="1" applyAlignment="1">
      <alignment horizontal="center" vertical="center"/>
    </xf>
    <xf numFmtId="0" fontId="24" fillId="26" borderId="52" xfId="0" applyFont="1" applyFill="1" applyBorder="1" applyAlignment="1">
      <alignment horizontal="center" vertical="center"/>
    </xf>
    <xf numFmtId="0" fontId="24" fillId="26" borderId="66" xfId="0" applyFont="1" applyFill="1" applyBorder="1" applyAlignment="1">
      <alignment horizontal="center" vertical="center"/>
    </xf>
    <xf numFmtId="178" fontId="24" fillId="26" borderId="63" xfId="0" applyNumberFormat="1" applyFont="1" applyFill="1" applyBorder="1" applyAlignment="1">
      <alignment horizontal="center" vertical="center"/>
    </xf>
    <xf numFmtId="178" fontId="24" fillId="26" borderId="62" xfId="0" applyNumberFormat="1" applyFont="1" applyFill="1" applyBorder="1" applyAlignment="1">
      <alignment horizontal="center" vertical="center"/>
    </xf>
    <xf numFmtId="0" fontId="24" fillId="26" borderId="63" xfId="0" applyFont="1" applyFill="1" applyBorder="1" applyAlignment="1">
      <alignment horizontal="center" vertical="center"/>
    </xf>
    <xf numFmtId="0" fontId="24" fillId="26" borderId="64" xfId="0" applyFont="1" applyFill="1" applyBorder="1" applyAlignment="1">
      <alignment horizontal="center" vertical="center"/>
    </xf>
    <xf numFmtId="0" fontId="24" fillId="26" borderId="65" xfId="0" applyFont="1" applyFill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184" fontId="71" fillId="25" borderId="19" xfId="41" applyNumberFormat="1" applyFont="1" applyFill="1" applyBorder="1" applyAlignment="1">
      <alignment horizontal="center" vertical="center"/>
    </xf>
    <xf numFmtId="184" fontId="71" fillId="25" borderId="20" xfId="41" applyNumberFormat="1" applyFont="1" applyFill="1" applyBorder="1" applyAlignment="1">
      <alignment horizontal="center" vertical="center"/>
    </xf>
    <xf numFmtId="184" fontId="71" fillId="25" borderId="67" xfId="41" applyNumberFormat="1" applyFont="1" applyFill="1" applyBorder="1" applyAlignment="1">
      <alignment horizontal="center" vertical="center"/>
    </xf>
    <xf numFmtId="41" fontId="24" fillId="0" borderId="10" xfId="42" applyFont="1" applyFill="1" applyBorder="1" applyAlignment="1">
      <alignment horizontal="center" vertical="center"/>
    </xf>
    <xf numFmtId="189" fontId="45" fillId="0" borderId="11" xfId="54" applyNumberFormat="1" applyFont="1" applyBorder="1">
      <alignment vertical="center"/>
    </xf>
    <xf numFmtId="189" fontId="45" fillId="0" borderId="14" xfId="54" applyNumberFormat="1" applyFont="1" applyBorder="1">
      <alignment vertical="center"/>
    </xf>
    <xf numFmtId="189" fontId="45" fillId="0" borderId="50" xfId="54" applyNumberFormat="1" applyFont="1" applyBorder="1">
      <alignment vertical="center"/>
    </xf>
    <xf numFmtId="41" fontId="43" fillId="0" borderId="10" xfId="42" applyFont="1" applyFill="1" applyBorder="1" applyAlignment="1">
      <alignment horizontal="center" vertical="center"/>
    </xf>
    <xf numFmtId="189" fontId="47" fillId="0" borderId="11" xfId="54" applyNumberFormat="1" applyFont="1" applyBorder="1" applyAlignment="1">
      <alignment horizontal="left" vertical="center"/>
    </xf>
    <xf numFmtId="189" fontId="47" fillId="0" borderId="14" xfId="54" applyNumberFormat="1" applyFont="1" applyBorder="1" applyAlignment="1">
      <alignment horizontal="left" vertical="center"/>
    </xf>
    <xf numFmtId="189" fontId="47" fillId="0" borderId="50" xfId="54" applyNumberFormat="1" applyFont="1" applyBorder="1" applyAlignment="1">
      <alignment horizontal="left" vertical="center"/>
    </xf>
    <xf numFmtId="0" fontId="24" fillId="26" borderId="51" xfId="55" applyFont="1" applyFill="1" applyBorder="1">
      <alignment vertical="center"/>
    </xf>
    <xf numFmtId="0" fontId="24" fillId="26" borderId="14" xfId="55" applyFont="1" applyFill="1" applyBorder="1">
      <alignment vertical="center"/>
    </xf>
    <xf numFmtId="0" fontId="24" fillId="26" borderId="12" xfId="55" applyFont="1" applyFill="1" applyBorder="1">
      <alignment vertical="center"/>
    </xf>
    <xf numFmtId="178" fontId="23" fillId="26" borderId="11" xfId="0" applyNumberFormat="1" applyFont="1" applyFill="1" applyBorder="1" applyAlignment="1">
      <alignment horizontal="center" vertical="center"/>
    </xf>
    <xf numFmtId="178" fontId="24" fillId="26" borderId="12" xfId="0" applyNumberFormat="1" applyFont="1" applyFill="1" applyBorder="1" applyAlignment="1">
      <alignment horizontal="center" vertical="center"/>
    </xf>
    <xf numFmtId="0" fontId="24" fillId="26" borderId="11" xfId="55" applyFont="1" applyFill="1" applyBorder="1" applyAlignment="1">
      <alignment horizontal="center" vertical="center"/>
    </xf>
    <xf numFmtId="0" fontId="24" fillId="26" borderId="14" xfId="55" applyFont="1" applyFill="1" applyBorder="1" applyAlignment="1">
      <alignment horizontal="center" vertical="center"/>
    </xf>
    <xf numFmtId="0" fontId="24" fillId="26" borderId="50" xfId="55" applyFont="1" applyFill="1" applyBorder="1" applyAlignment="1">
      <alignment horizontal="center" vertical="center"/>
    </xf>
    <xf numFmtId="178" fontId="24" fillId="26" borderId="11" xfId="0" applyNumberFormat="1" applyFont="1" applyFill="1" applyBorder="1" applyAlignment="1">
      <alignment horizontal="center" vertical="center"/>
    </xf>
    <xf numFmtId="0" fontId="24" fillId="26" borderId="11" xfId="0" applyFont="1" applyFill="1" applyBorder="1" applyAlignment="1">
      <alignment horizontal="center" vertical="center"/>
    </xf>
    <xf numFmtId="0" fontId="24" fillId="26" borderId="14" xfId="0" applyFont="1" applyFill="1" applyBorder="1" applyAlignment="1">
      <alignment horizontal="center" vertical="center"/>
    </xf>
    <xf numFmtId="41" fontId="24" fillId="27" borderId="15" xfId="42" applyFont="1" applyFill="1" applyBorder="1" applyAlignment="1">
      <alignment horizontal="center" vertical="center"/>
    </xf>
    <xf numFmtId="41" fontId="24" fillId="27" borderId="16" xfId="42" applyFont="1" applyFill="1" applyBorder="1" applyAlignment="1">
      <alignment horizontal="center" vertical="center"/>
    </xf>
    <xf numFmtId="178" fontId="75" fillId="27" borderId="11" xfId="55" applyNumberFormat="1" applyFont="1" applyFill="1" applyBorder="1">
      <alignment vertical="center"/>
    </xf>
    <xf numFmtId="178" fontId="75" fillId="27" borderId="14" xfId="55" applyNumberFormat="1" applyFont="1" applyFill="1" applyBorder="1">
      <alignment vertical="center"/>
    </xf>
    <xf numFmtId="41" fontId="43" fillId="0" borderId="15" xfId="42" applyFont="1" applyFill="1" applyBorder="1" applyAlignment="1">
      <alignment horizontal="center" vertical="center"/>
    </xf>
    <xf numFmtId="41" fontId="43" fillId="0" borderId="16" xfId="42" applyFont="1" applyFill="1" applyBorder="1" applyAlignment="1">
      <alignment horizontal="center" vertical="center"/>
    </xf>
    <xf numFmtId="41" fontId="24" fillId="31" borderId="15" xfId="42" applyFont="1" applyFill="1" applyBorder="1" applyAlignment="1">
      <alignment horizontal="center" vertical="center"/>
    </xf>
    <xf numFmtId="41" fontId="24" fillId="31" borderId="16" xfId="42" applyFont="1" applyFill="1" applyBorder="1" applyAlignment="1">
      <alignment horizontal="center" vertical="center"/>
    </xf>
    <xf numFmtId="178" fontId="45" fillId="27" borderId="11" xfId="55" applyNumberFormat="1" applyFont="1" applyFill="1" applyBorder="1">
      <alignment vertical="center"/>
    </xf>
    <xf numFmtId="178" fontId="45" fillId="27" borderId="14" xfId="55" applyNumberFormat="1" applyFont="1" applyFill="1" applyBorder="1">
      <alignment vertical="center"/>
    </xf>
    <xf numFmtId="178" fontId="45" fillId="27" borderId="50" xfId="55" applyNumberFormat="1" applyFont="1" applyFill="1" applyBorder="1">
      <alignment vertical="center"/>
    </xf>
    <xf numFmtId="41" fontId="43" fillId="0" borderId="11" xfId="41" applyFont="1" applyBorder="1" applyAlignment="1">
      <alignment vertical="center"/>
    </xf>
    <xf numFmtId="41" fontId="43" fillId="0" borderId="12" xfId="41" applyFont="1" applyBorder="1" applyAlignment="1">
      <alignment vertical="center"/>
    </xf>
    <xf numFmtId="178" fontId="47" fillId="0" borderId="11" xfId="0" quotePrefix="1" applyNumberFormat="1" applyFont="1" applyBorder="1">
      <alignment vertical="center"/>
    </xf>
    <xf numFmtId="178" fontId="47" fillId="0" borderId="14" xfId="0" quotePrefix="1" applyNumberFormat="1" applyFont="1" applyBorder="1">
      <alignment vertical="center"/>
    </xf>
    <xf numFmtId="178" fontId="47" fillId="0" borderId="50" xfId="0" quotePrefix="1" applyNumberFormat="1" applyFont="1" applyBorder="1">
      <alignment vertical="center"/>
    </xf>
    <xf numFmtId="189" fontId="32" fillId="0" borderId="11" xfId="0" applyNumberFormat="1" applyFont="1" applyBorder="1">
      <alignment vertical="center"/>
    </xf>
    <xf numFmtId="189" fontId="32" fillId="0" borderId="14" xfId="0" applyNumberFormat="1" applyFont="1" applyBorder="1">
      <alignment vertical="center"/>
    </xf>
    <xf numFmtId="178" fontId="45" fillId="0" borderId="50" xfId="0" applyNumberFormat="1" applyFont="1" applyBorder="1">
      <alignment vertical="center"/>
    </xf>
    <xf numFmtId="41" fontId="44" fillId="0" borderId="15" xfId="41" applyFont="1" applyBorder="1" applyAlignment="1">
      <alignment vertical="center"/>
    </xf>
    <xf numFmtId="41" fontId="44" fillId="0" borderId="16" xfId="41" applyFont="1" applyBorder="1" applyAlignment="1">
      <alignment vertical="center"/>
    </xf>
    <xf numFmtId="41" fontId="44" fillId="0" borderId="17" xfId="41" applyFont="1" applyBorder="1" applyAlignment="1">
      <alignment vertical="center"/>
    </xf>
    <xf numFmtId="41" fontId="44" fillId="0" borderId="18" xfId="41" applyFont="1" applyBorder="1" applyAlignment="1">
      <alignment vertical="center"/>
    </xf>
    <xf numFmtId="189" fontId="32" fillId="0" borderId="0" xfId="0" applyNumberFormat="1" applyFont="1">
      <alignment vertical="center"/>
    </xf>
    <xf numFmtId="41" fontId="60" fillId="0" borderId="11" xfId="41" applyFont="1" applyBorder="1" applyAlignment="1">
      <alignment vertical="center"/>
    </xf>
    <xf numFmtId="41" fontId="60" fillId="0" borderId="12" xfId="41" applyFont="1" applyBorder="1" applyAlignment="1">
      <alignment vertical="center"/>
    </xf>
    <xf numFmtId="41" fontId="24" fillId="0" borderId="11" xfId="41" applyFont="1" applyFill="1" applyBorder="1" applyAlignment="1">
      <alignment vertical="center"/>
    </xf>
    <xf numFmtId="41" fontId="24" fillId="0" borderId="12" xfId="41" applyFont="1" applyFill="1" applyBorder="1" applyAlignment="1">
      <alignment vertical="center"/>
    </xf>
    <xf numFmtId="0" fontId="38" fillId="28" borderId="44" xfId="0" applyFont="1" applyFill="1" applyBorder="1" applyAlignment="1">
      <alignment horizontal="center" vertical="center"/>
    </xf>
    <xf numFmtId="0" fontId="38" fillId="28" borderId="45" xfId="0" applyFont="1" applyFill="1" applyBorder="1" applyAlignment="1">
      <alignment horizontal="center" vertical="center"/>
    </xf>
    <xf numFmtId="0" fontId="38" fillId="28" borderId="46" xfId="0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24" borderId="11" xfId="0" applyFont="1" applyFill="1" applyBorder="1" applyAlignment="1">
      <alignment horizontal="center" vertical="center"/>
    </xf>
    <xf numFmtId="0" fontId="24" fillId="24" borderId="12" xfId="0" applyFont="1" applyFill="1" applyBorder="1" applyAlignment="1">
      <alignment horizontal="center" vertical="center"/>
    </xf>
    <xf numFmtId="0" fontId="23" fillId="24" borderId="11" xfId="0" applyFont="1" applyFill="1" applyBorder="1" applyAlignment="1">
      <alignment horizontal="center" vertical="center"/>
    </xf>
    <xf numFmtId="0" fontId="63" fillId="0" borderId="0" xfId="0" applyFont="1">
      <alignment vertical="center"/>
    </xf>
    <xf numFmtId="0" fontId="62" fillId="0" borderId="0" xfId="0" applyFont="1">
      <alignment vertical="center"/>
    </xf>
    <xf numFmtId="0" fontId="65" fillId="0" borderId="0" xfId="0" applyFont="1">
      <alignment vertical="center"/>
    </xf>
    <xf numFmtId="0" fontId="62" fillId="24" borderId="32" xfId="0" applyFont="1" applyFill="1" applyBorder="1">
      <alignment vertical="center"/>
    </xf>
    <xf numFmtId="0" fontId="62" fillId="24" borderId="29" xfId="0" applyFont="1" applyFill="1" applyBorder="1">
      <alignment vertical="center"/>
    </xf>
    <xf numFmtId="178" fontId="62" fillId="0" borderId="32" xfId="0" applyNumberFormat="1" applyFont="1" applyBorder="1">
      <alignment vertical="center"/>
    </xf>
    <xf numFmtId="178" fontId="62" fillId="0" borderId="29" xfId="0" applyNumberFormat="1" applyFont="1" applyBorder="1">
      <alignment vertical="center"/>
    </xf>
    <xf numFmtId="0" fontId="62" fillId="24" borderId="31" xfId="0" applyFont="1" applyFill="1" applyBorder="1">
      <alignment vertical="center"/>
    </xf>
    <xf numFmtId="178" fontId="62" fillId="0" borderId="31" xfId="0" applyNumberFormat="1" applyFont="1" applyBorder="1">
      <alignment vertical="center"/>
    </xf>
    <xf numFmtId="178" fontId="67" fillId="0" borderId="23" xfId="0" applyNumberFormat="1" applyFont="1" applyBorder="1" applyAlignment="1">
      <alignment horizontal="center" vertical="center"/>
    </xf>
    <xf numFmtId="178" fontId="67" fillId="0" borderId="22" xfId="0" applyNumberFormat="1" applyFont="1" applyBorder="1" applyAlignment="1">
      <alignment horizontal="center" vertical="center"/>
    </xf>
    <xf numFmtId="178" fontId="67" fillId="25" borderId="23" xfId="0" applyNumberFormat="1" applyFont="1" applyFill="1" applyBorder="1" applyAlignment="1">
      <alignment horizontal="center" vertical="center"/>
    </xf>
    <xf numFmtId="178" fontId="67" fillId="25" borderId="22" xfId="0" applyNumberFormat="1" applyFont="1" applyFill="1" applyBorder="1" applyAlignment="1">
      <alignment horizontal="center" vertical="center"/>
    </xf>
    <xf numFmtId="0" fontId="67" fillId="0" borderId="41" xfId="0" applyFont="1" applyBorder="1" applyAlignment="1">
      <alignment horizontal="center" vertical="center"/>
    </xf>
    <xf numFmtId="0" fontId="67" fillId="24" borderId="40" xfId="0" applyFont="1" applyFill="1" applyBorder="1" applyAlignment="1">
      <alignment horizontal="center" vertical="center"/>
    </xf>
    <xf numFmtId="0" fontId="67" fillId="24" borderId="24" xfId="0" applyFont="1" applyFill="1" applyBorder="1" applyAlignment="1">
      <alignment horizontal="center" vertical="center"/>
    </xf>
    <xf numFmtId="0" fontId="67" fillId="0" borderId="39" xfId="0" applyFont="1" applyBorder="1" applyAlignment="1">
      <alignment horizontal="center" vertical="center"/>
    </xf>
    <xf numFmtId="0" fontId="67" fillId="0" borderId="38" xfId="0" applyFont="1" applyBorder="1" applyAlignment="1">
      <alignment horizontal="center" vertical="center"/>
    </xf>
    <xf numFmtId="0" fontId="67" fillId="25" borderId="39" xfId="0" applyFont="1" applyFill="1" applyBorder="1" applyAlignment="1">
      <alignment horizontal="center" vertical="center"/>
    </xf>
    <xf numFmtId="0" fontId="67" fillId="25" borderId="38" xfId="0" applyFont="1" applyFill="1" applyBorder="1" applyAlignment="1">
      <alignment horizontal="center" vertical="center"/>
    </xf>
    <xf numFmtId="0" fontId="67" fillId="0" borderId="37" xfId="0" applyFont="1" applyBorder="1" applyAlignment="1">
      <alignment horizontal="center" vertical="center"/>
    </xf>
    <xf numFmtId="0" fontId="67" fillId="0" borderId="22" xfId="0" applyFont="1" applyBorder="1" applyAlignment="1">
      <alignment horizontal="center" vertical="center"/>
    </xf>
    <xf numFmtId="0" fontId="69" fillId="0" borderId="43" xfId="0" applyFont="1" applyBorder="1" applyAlignment="1">
      <alignment horizontal="center" vertical="center"/>
    </xf>
    <xf numFmtId="0" fontId="69" fillId="0" borderId="41" xfId="0" applyFont="1" applyBorder="1" applyAlignment="1">
      <alignment horizontal="center" vertical="center"/>
    </xf>
    <xf numFmtId="0" fontId="69" fillId="0" borderId="42" xfId="0" applyFont="1" applyBorder="1" applyAlignment="1">
      <alignment horizontal="center" vertical="center"/>
    </xf>
  </cellXfs>
  <cellStyles count="57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ody" xfId="19" xr:uid="{00000000-0005-0000-0000-000012000000}"/>
    <cellStyle name="Comma [0]_1995" xfId="20" xr:uid="{00000000-0005-0000-0000-000013000000}"/>
    <cellStyle name="Comma_1995" xfId="21" xr:uid="{00000000-0005-0000-0000-000014000000}"/>
    <cellStyle name="Currency [0]_1995" xfId="22" xr:uid="{00000000-0005-0000-0000-000015000000}"/>
    <cellStyle name="Currency_1995" xfId="23" xr:uid="{00000000-0005-0000-0000-000016000000}"/>
    <cellStyle name="Hyperlink_Coolsave DRAFT2" xfId="24" xr:uid="{00000000-0005-0000-0000-000017000000}"/>
    <cellStyle name="no dec" xfId="25" xr:uid="{00000000-0005-0000-0000-000018000000}"/>
    <cellStyle name="Normal_2. SMARTnet" xfId="26" xr:uid="{00000000-0005-0000-0000-000019000000}"/>
    <cellStyle name="강조색1" xfId="27" builtinId="29" customBuiltin="1"/>
    <cellStyle name="강조색2" xfId="28" builtinId="33" customBuiltin="1"/>
    <cellStyle name="강조색3" xfId="29" builtinId="37" customBuiltin="1"/>
    <cellStyle name="강조색4" xfId="30" builtinId="41" customBuiltin="1"/>
    <cellStyle name="강조색5" xfId="31" builtinId="45" customBuiltin="1"/>
    <cellStyle name="강조색6" xfId="32" builtinId="49" customBuiltin="1"/>
    <cellStyle name="경고문" xfId="33" builtinId="11" customBuiltin="1"/>
    <cellStyle name="계산" xfId="34" builtinId="22" customBuiltin="1"/>
    <cellStyle name="나쁨" xfId="35" builtinId="27" customBuiltin="1"/>
    <cellStyle name="메모" xfId="36" builtinId="10" customBuiltin="1"/>
    <cellStyle name="백분율" xfId="37" builtinId="5"/>
    <cellStyle name="보통" xfId="38" builtinId="28" customBuiltin="1"/>
    <cellStyle name="설명 텍스트" xfId="39" builtinId="53" customBuiltin="1"/>
    <cellStyle name="셀 확인" xfId="40" builtinId="23" customBuiltin="1"/>
    <cellStyle name="쉼표 [0]" xfId="41" builtinId="6"/>
    <cellStyle name="쉼표 [0]_00 Test-Chemical-Calc(130501)" xfId="42" xr:uid="{00000000-0005-0000-0000-000029000000}"/>
    <cellStyle name="쉼표 [0]_HandChem Calc" xfId="43" xr:uid="{00000000-0005-0000-0000-00002A000000}"/>
    <cellStyle name="연결된 셀" xfId="44" builtinId="24" customBuiltin="1"/>
    <cellStyle name="요약" xfId="45" builtinId="25" customBuiltin="1"/>
    <cellStyle name="입력" xfId="46" builtinId="20" customBuiltin="1"/>
    <cellStyle name="제목" xfId="47" builtinId="15" customBuiltin="1"/>
    <cellStyle name="제목 1" xfId="48" builtinId="16" customBuiltin="1"/>
    <cellStyle name="제목 2" xfId="49" builtinId="17" customBuiltin="1"/>
    <cellStyle name="제목 3" xfId="50" builtinId="18" customBuiltin="1"/>
    <cellStyle name="제목 4" xfId="51" builtinId="19" customBuiltin="1"/>
    <cellStyle name="좋음" xfId="52" builtinId="26" customBuiltin="1"/>
    <cellStyle name="출력" xfId="53" builtinId="21" customBuiltin="1"/>
    <cellStyle name="콤마 [0]_Price-031211" xfId="56" xr:uid="{336ABCCB-7DD5-42EA-B459-6D82F0771755}"/>
    <cellStyle name="표준" xfId="0" builtinId="0"/>
    <cellStyle name="표준_00 Chemical-Calc(130501)" xfId="54" xr:uid="{00000000-0005-0000-0000-000036000000}"/>
    <cellStyle name="표준_00 Test-Chemical-Calc(130501)" xfId="55" xr:uid="{00000000-0005-0000-0000-000037000000}"/>
  </cellStyles>
  <dxfs count="0"/>
  <tableStyles count="0" defaultTableStyle="TableStyleMedium9" defaultPivotStyle="PivotStyleLight16"/>
  <colors>
    <mruColors>
      <color rgb="FF3366FF"/>
      <color rgb="FF66FFFF"/>
      <color rgb="FFFFFF99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altLang="en-US"/>
              <a:t>Tower Circulating Water pH VS. Alkalinity</a:t>
            </a:r>
          </a:p>
        </c:rich>
      </c:tx>
      <c:layout>
        <c:manualLayout>
          <c:xMode val="edge"/>
          <c:yMode val="edge"/>
          <c:x val="0.13942329512109319"/>
          <c:y val="4.86284585341203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756445870339262"/>
          <c:y val="0.16708239598902891"/>
          <c:w val="0.71314214171133228"/>
          <c:h val="0.7132173918337632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[2]Sheet1!$A$2:$A$3</c:f>
              <c:numCache>
                <c:formatCode>General</c:formatCode>
                <c:ptCount val="2"/>
                <c:pt idx="0">
                  <c:v>5</c:v>
                </c:pt>
                <c:pt idx="1">
                  <c:v>9</c:v>
                </c:pt>
              </c:numCache>
            </c:numRef>
          </c:xVal>
          <c:yVal>
            <c:numRef>
              <c:f>[2]Sheet1!$B$2:$B$3</c:f>
              <c:numCache>
                <c:formatCode>General</c:formatCode>
                <c:ptCount val="2"/>
                <c:pt idx="0">
                  <c:v>4.4277811557329443</c:v>
                </c:pt>
                <c:pt idx="1">
                  <c:v>701.75602114287517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D8-4F2C-84F0-A83EE5C0E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30208"/>
        <c:axId val="136913664"/>
      </c:scatterChart>
      <c:valAx>
        <c:axId val="137230208"/>
        <c:scaling>
          <c:orientation val="minMax"/>
          <c:max val="9"/>
          <c:min val="5.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en-US"/>
                  <a:t>pH</a:t>
                </a:r>
              </a:p>
            </c:rich>
          </c:tx>
          <c:layout>
            <c:manualLayout>
              <c:xMode val="edge"/>
              <c:yMode val="edge"/>
              <c:x val="0.56089831370554566"/>
              <c:y val="0.90399057531377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136913664"/>
        <c:crossesAt val="10"/>
        <c:crossBetween val="midCat"/>
        <c:majorUnit val="0.5"/>
        <c:minorUnit val="0.5"/>
      </c:valAx>
      <c:valAx>
        <c:axId val="136913664"/>
        <c:scaling>
          <c:logBase val="10"/>
          <c:orientation val="minMax"/>
          <c:max val="1000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en-US"/>
                  <a:t>Alkalinity-ppm (CaCO3)</a:t>
                </a:r>
              </a:p>
            </c:rich>
          </c:tx>
          <c:layout>
            <c:manualLayout>
              <c:xMode val="edge"/>
              <c:yMode val="edge"/>
              <c:x val="6.4102664423490982E-2"/>
              <c:y val="0.412718455763945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137230208"/>
        <c:crossesAt val="5.5"/>
        <c:crossBetween val="midCat"/>
        <c:majorUnit val="1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0178" r="0.75000000000000178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altLang="en-US"/>
              <a:t>Tower Circulating Water pH VS. Alkalinity</a:t>
            </a:r>
          </a:p>
        </c:rich>
      </c:tx>
      <c:layout>
        <c:manualLayout>
          <c:xMode val="edge"/>
          <c:yMode val="edge"/>
          <c:x val="0.13942329512109319"/>
          <c:y val="4.86284585341203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756445870339262"/>
          <c:y val="0.16708239598902891"/>
          <c:w val="0.71314214171133228"/>
          <c:h val="0.7132173918337632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[2]Sheet1!$A$2:$A$3</c:f>
              <c:numCache>
                <c:formatCode>General</c:formatCode>
                <c:ptCount val="2"/>
                <c:pt idx="0">
                  <c:v>5</c:v>
                </c:pt>
                <c:pt idx="1">
                  <c:v>9</c:v>
                </c:pt>
              </c:numCache>
            </c:numRef>
          </c:xVal>
          <c:yVal>
            <c:numRef>
              <c:f>[2]Sheet1!$B$2:$B$3</c:f>
              <c:numCache>
                <c:formatCode>General</c:formatCode>
                <c:ptCount val="2"/>
                <c:pt idx="0">
                  <c:v>4.4277811557329443</c:v>
                </c:pt>
                <c:pt idx="1">
                  <c:v>701.75602114287517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04-4A72-99FA-C94CCC667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30208"/>
        <c:axId val="136913664"/>
      </c:scatterChart>
      <c:valAx>
        <c:axId val="137230208"/>
        <c:scaling>
          <c:orientation val="minMax"/>
          <c:max val="9"/>
          <c:min val="5.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en-US"/>
                  <a:t>pH</a:t>
                </a:r>
              </a:p>
            </c:rich>
          </c:tx>
          <c:layout>
            <c:manualLayout>
              <c:xMode val="edge"/>
              <c:yMode val="edge"/>
              <c:x val="0.56089831370554566"/>
              <c:y val="0.90399057531377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136913664"/>
        <c:crossesAt val="10"/>
        <c:crossBetween val="midCat"/>
        <c:majorUnit val="0.5"/>
        <c:minorUnit val="0.5"/>
      </c:valAx>
      <c:valAx>
        <c:axId val="136913664"/>
        <c:scaling>
          <c:logBase val="10"/>
          <c:orientation val="minMax"/>
          <c:max val="1000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en-US"/>
                  <a:t>Alkalinity-ppm (CaCO3)</a:t>
                </a:r>
              </a:p>
            </c:rich>
          </c:tx>
          <c:layout>
            <c:manualLayout>
              <c:xMode val="edge"/>
              <c:yMode val="edge"/>
              <c:x val="6.4102664423490982E-2"/>
              <c:y val="0.412718455763945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137230208"/>
        <c:crossesAt val="5.5"/>
        <c:crossBetween val="midCat"/>
        <c:majorUnit val="1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0178" r="0.75000000000000178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0</xdr:rowOff>
    </xdr:from>
    <xdr:to>
      <xdr:col>22</xdr:col>
      <xdr:colOff>505353</xdr:colOff>
      <xdr:row>25</xdr:row>
      <xdr:rowOff>149754</xdr:rowOff>
    </xdr:to>
    <xdr:graphicFrame macro="">
      <xdr:nvGraphicFramePr>
        <xdr:cNvPr id="3" name="Chart 4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26096</xdr:colOff>
      <xdr:row>34</xdr:row>
      <xdr:rowOff>45666</xdr:rowOff>
    </xdr:from>
    <xdr:to>
      <xdr:col>21</xdr:col>
      <xdr:colOff>681494</xdr:colOff>
      <xdr:row>43</xdr:row>
      <xdr:rowOff>208767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7E12E2A-7739-F1DA-027E-234A64BFF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67723" y="7619999"/>
          <a:ext cx="4947824" cy="19898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0</xdr:rowOff>
    </xdr:from>
    <xdr:to>
      <xdr:col>22</xdr:col>
      <xdr:colOff>505353</xdr:colOff>
      <xdr:row>22</xdr:row>
      <xdr:rowOff>149754</xdr:rowOff>
    </xdr:to>
    <xdr:graphicFrame macro="">
      <xdr:nvGraphicFramePr>
        <xdr:cNvPr id="2" name="Chart 41">
          <a:extLst>
            <a:ext uri="{FF2B5EF4-FFF2-40B4-BE49-F238E27FC236}">
              <a16:creationId xmlns:a16="http://schemas.microsoft.com/office/drawing/2014/main" id="{BF8AEFEF-F1A8-41FC-B260-9C89C7D38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Anco%20Downloads/Programs/Book1.xls" TargetMode="External"/><Relationship Id="rId1" Type="http://schemas.openxmlformats.org/officeDocument/2006/relationships/externalLinkPath" Target="/Anco%20Downloads/Programs/Book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oh/Documents/130112%20Alkalinity%20Curve.xls" TargetMode="External"/><Relationship Id="rId1" Type="http://schemas.openxmlformats.org/officeDocument/2006/relationships/externalLinkPath" Target="/Users/Roh/Documents/130112%20Alkalinity%20Curv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lowdown Savings with Chem Cost"/>
      <sheetName val="Blowdown Savings wo Chem Cost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</sheetNames>
    <sheetDataSet>
      <sheetData sheetId="0">
        <row r="2">
          <cell r="A2">
            <v>5</v>
          </cell>
          <cell r="B2">
            <v>4.4277811557329443</v>
          </cell>
        </row>
        <row r="3">
          <cell r="A3">
            <v>9</v>
          </cell>
          <cell r="B3">
            <v>701.75602114287517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79"/>
  <sheetViews>
    <sheetView showGridLines="0" tabSelected="1" zoomScale="80" zoomScaleNormal="80" workbookViewId="0">
      <selection activeCell="P14" sqref="P14"/>
    </sheetView>
  </sheetViews>
  <sheetFormatPr defaultColWidth="8.9140625" defaultRowHeight="15"/>
  <cols>
    <col min="1" max="1" width="1.4140625" style="215" customWidth="1"/>
    <col min="2" max="2" width="27" style="215" customWidth="1"/>
    <col min="3" max="3" width="10.5" style="215" customWidth="1"/>
    <col min="4" max="4" width="11.9140625" style="215" customWidth="1"/>
    <col min="5" max="5" width="11.58203125" style="215" customWidth="1"/>
    <col min="6" max="6" width="13.1640625" style="215" customWidth="1"/>
    <col min="7" max="7" width="10.1640625" style="215" customWidth="1"/>
    <col min="8" max="8" width="12.9140625" style="215" customWidth="1"/>
    <col min="9" max="9" width="7.4140625" style="215" customWidth="1"/>
    <col min="10" max="10" width="9.9140625" style="215" customWidth="1"/>
    <col min="11" max="11" width="1.1640625" style="215" customWidth="1"/>
    <col min="12" max="12" width="7.58203125" style="215" customWidth="1"/>
    <col min="13" max="13" width="8.08203125" style="215" customWidth="1"/>
    <col min="14" max="14" width="7.5" style="215" customWidth="1"/>
    <col min="15" max="15" width="9.6640625" style="215" customWidth="1"/>
    <col min="16" max="16" width="21.58203125" style="216" customWidth="1"/>
    <col min="17" max="17" width="10.33203125" style="215" customWidth="1"/>
    <col min="18" max="18" width="12.25" style="215" customWidth="1"/>
    <col min="19" max="19" width="12.25" style="215" bestFit="1" customWidth="1"/>
    <col min="20" max="16384" width="8.9140625" style="215"/>
  </cols>
  <sheetData>
    <row r="1" spans="2:18" ht="7.5" customHeight="1" thickBot="1"/>
    <row r="2" spans="2:18" ht="24.75" customHeight="1">
      <c r="B2" s="530" t="s">
        <v>298</v>
      </c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2"/>
    </row>
    <row r="3" spans="2:18" ht="18" customHeight="1">
      <c r="B3" s="217" t="s">
        <v>223</v>
      </c>
      <c r="O3" s="218"/>
    </row>
    <row r="4" spans="2:18" ht="18" customHeight="1">
      <c r="B4" s="219" t="s">
        <v>224</v>
      </c>
      <c r="C4" s="220">
        <v>1000</v>
      </c>
      <c r="D4" s="215" t="s">
        <v>2</v>
      </c>
      <c r="E4" s="221" t="s">
        <v>225</v>
      </c>
      <c r="F4" s="221" t="s">
        <v>226</v>
      </c>
      <c r="G4" s="221" t="s">
        <v>227</v>
      </c>
      <c r="H4" s="222" t="s">
        <v>6</v>
      </c>
      <c r="I4" s="223" t="s">
        <v>7</v>
      </c>
      <c r="J4" s="224"/>
      <c r="L4" s="533" t="s">
        <v>228</v>
      </c>
      <c r="M4" s="534"/>
      <c r="N4" s="225">
        <f>G11/F11</f>
        <v>1.55</v>
      </c>
      <c r="O4" s="218"/>
      <c r="Q4" s="226"/>
    </row>
    <row r="5" spans="2:18" ht="18" customHeight="1">
      <c r="B5" s="219" t="s">
        <v>229</v>
      </c>
      <c r="C5" s="227">
        <v>0</v>
      </c>
      <c r="D5" s="215" t="s">
        <v>230</v>
      </c>
      <c r="E5" s="221" t="s">
        <v>231</v>
      </c>
      <c r="F5" s="228">
        <v>435</v>
      </c>
      <c r="G5" s="228">
        <v>537</v>
      </c>
      <c r="H5" s="229">
        <f>F5*N6</f>
        <v>2610</v>
      </c>
      <c r="I5" s="230"/>
      <c r="J5" s="231"/>
      <c r="L5" s="533" t="s">
        <v>232</v>
      </c>
      <c r="M5" s="534"/>
      <c r="N5" s="232">
        <f>C9/(N4-1)</f>
        <v>4.4594181818181813</v>
      </c>
      <c r="O5" s="218" t="s">
        <v>233</v>
      </c>
      <c r="P5" s="233" t="s">
        <v>110</v>
      </c>
      <c r="Q5" s="234">
        <f>(LOG(G5)-1)/10</f>
        <v>0.17299742856995554</v>
      </c>
    </row>
    <row r="6" spans="2:18" ht="18" customHeight="1">
      <c r="B6" s="219" t="s">
        <v>234</v>
      </c>
      <c r="C6" s="235">
        <f>C4*37.85/1000+C5</f>
        <v>37.85</v>
      </c>
      <c r="D6" s="215" t="s">
        <v>230</v>
      </c>
      <c r="E6" s="221" t="s">
        <v>235</v>
      </c>
      <c r="F6" s="228">
        <v>34</v>
      </c>
      <c r="G6" s="228">
        <v>46</v>
      </c>
      <c r="H6" s="229">
        <f>F6*N6</f>
        <v>204</v>
      </c>
      <c r="I6" s="230"/>
      <c r="J6" s="231"/>
      <c r="L6" s="535" t="s">
        <v>236</v>
      </c>
      <c r="M6" s="536"/>
      <c r="N6" s="237">
        <v>6</v>
      </c>
      <c r="O6" s="218"/>
      <c r="P6" s="233" t="s">
        <v>111</v>
      </c>
      <c r="Q6" s="234">
        <f>LOG(G6)-0.4</f>
        <v>1.262757831681574</v>
      </c>
    </row>
    <row r="7" spans="2:18" ht="18" customHeight="1">
      <c r="B7" s="219" t="s">
        <v>237</v>
      </c>
      <c r="C7" s="238">
        <f>C4*11.355*60/1000</f>
        <v>681.3</v>
      </c>
      <c r="D7" s="215" t="s">
        <v>233</v>
      </c>
      <c r="E7" s="221" t="s">
        <v>238</v>
      </c>
      <c r="F7" s="228">
        <v>70</v>
      </c>
      <c r="G7" s="228">
        <v>80</v>
      </c>
      <c r="H7" s="229">
        <f>F7*N6</f>
        <v>420</v>
      </c>
      <c r="I7" s="230"/>
      <c r="J7" s="231"/>
      <c r="L7" s="533" t="s">
        <v>239</v>
      </c>
      <c r="M7" s="534"/>
      <c r="N7" s="239">
        <f>C9/(N6-1)</f>
        <v>0.49053599999999997</v>
      </c>
      <c r="O7" s="218" t="s">
        <v>233</v>
      </c>
      <c r="P7" s="233" t="s">
        <v>112</v>
      </c>
      <c r="Q7" s="234">
        <f>LOG(G7)</f>
        <v>1.9030899869919435</v>
      </c>
    </row>
    <row r="8" spans="2:18" ht="18" customHeight="1">
      <c r="B8" s="219" t="s">
        <v>240</v>
      </c>
      <c r="C8" s="240">
        <v>2.5</v>
      </c>
      <c r="D8" s="241" t="s">
        <v>241</v>
      </c>
      <c r="E8" s="221" t="s">
        <v>22</v>
      </c>
      <c r="F8" s="242">
        <v>7.8</v>
      </c>
      <c r="G8" s="242">
        <v>7.97</v>
      </c>
      <c r="H8" s="243">
        <f>((LOG(H7*0.9*1.219)+2.19)/0.55)</f>
        <v>8.824537282646558</v>
      </c>
      <c r="I8" s="223"/>
      <c r="J8" s="244"/>
      <c r="K8" s="245"/>
      <c r="L8" s="245"/>
      <c r="M8" s="245"/>
      <c r="N8" s="245"/>
      <c r="O8" s="246"/>
      <c r="P8" s="247"/>
      <c r="Q8" s="234">
        <f>G8</f>
        <v>7.97</v>
      </c>
    </row>
    <row r="9" spans="2:18" ht="18" customHeight="1">
      <c r="B9" s="248" t="s">
        <v>242</v>
      </c>
      <c r="C9" s="232">
        <f>0.0018*C8*C7*0.8</f>
        <v>2.45268</v>
      </c>
      <c r="D9" s="215" t="s">
        <v>233</v>
      </c>
      <c r="E9" s="221" t="s">
        <v>243</v>
      </c>
      <c r="F9" s="249">
        <v>10</v>
      </c>
      <c r="G9" s="249">
        <v>50</v>
      </c>
      <c r="H9" s="249">
        <v>50</v>
      </c>
      <c r="I9" s="223"/>
      <c r="J9" s="250"/>
      <c r="L9" s="535" t="s">
        <v>244</v>
      </c>
      <c r="M9" s="536"/>
      <c r="O9" s="218"/>
      <c r="P9" s="233" t="s">
        <v>113</v>
      </c>
      <c r="Q9" s="234">
        <f>-13.12*LOG(G9+273)+34.55</f>
        <v>1.6292629070159279</v>
      </c>
    </row>
    <row r="10" spans="2:18" ht="18" customHeight="1">
      <c r="B10" s="248" t="s">
        <v>245</v>
      </c>
      <c r="C10" s="232">
        <f>C7*0.0002</f>
        <v>0.13625999999999999</v>
      </c>
      <c r="D10" s="215" t="s">
        <v>233</v>
      </c>
      <c r="E10" s="222" t="s">
        <v>26</v>
      </c>
      <c r="F10" s="251">
        <f>F8-9.3-((LOG(F5)-1)/10)-(-13.12*LOG(F9+273)+34.55)+(LOG(F6)-0.4)+(LOG(F7))</f>
        <v>-1.0698339345602648</v>
      </c>
      <c r="G10" s="251">
        <f>G8-9.3-((LOG(G5)-1)/10)-(-13.12*LOG(G9+273)+34.55)+(LOG(G6)-0.4)+(LOG(G7))</f>
        <v>3.3587483087633041E-2</v>
      </c>
      <c r="H10" s="251">
        <f>H8-9.3-((LOG(H5)-1)/10)-(-13.12*LOG(H9+273)+34.55)+(LOG(H6)-0.4)+(LOG(H7))</f>
        <v>2.1864897827206007</v>
      </c>
      <c r="I10" s="230" t="s">
        <v>27</v>
      </c>
      <c r="J10" s="244"/>
      <c r="L10" s="252">
        <v>24</v>
      </c>
      <c r="M10" s="222" t="s">
        <v>246</v>
      </c>
      <c r="O10" s="218"/>
      <c r="P10" s="233" t="s">
        <v>114</v>
      </c>
      <c r="Q10" s="253">
        <f>Q8-9.3-Q5-Q9+Q6+Q7</f>
        <v>3.3587483087633041E-2</v>
      </c>
    </row>
    <row r="11" spans="2:18" ht="18" customHeight="1">
      <c r="B11" s="248" t="s">
        <v>247</v>
      </c>
      <c r="C11" s="239">
        <f>C10+C9+N7</f>
        <v>3.0794760000000001</v>
      </c>
      <c r="D11" s="215" t="s">
        <v>233</v>
      </c>
      <c r="E11" s="236" t="s">
        <v>248</v>
      </c>
      <c r="F11" s="228">
        <v>40</v>
      </c>
      <c r="G11" s="228">
        <v>62</v>
      </c>
      <c r="H11" s="229">
        <f>F11*N6</f>
        <v>240</v>
      </c>
      <c r="I11" s="230"/>
      <c r="J11" s="231"/>
      <c r="L11" s="252">
        <v>30</v>
      </c>
      <c r="M11" s="222" t="s">
        <v>249</v>
      </c>
      <c r="O11" s="254"/>
    </row>
    <row r="12" spans="2:18" ht="18" customHeight="1">
      <c r="B12" s="248" t="s">
        <v>250</v>
      </c>
      <c r="C12" s="255">
        <f>0.7*(C6+C5)/N7/24</f>
        <v>2.2505144032921813</v>
      </c>
      <c r="D12" s="215" t="s">
        <v>33</v>
      </c>
      <c r="E12" s="221" t="s">
        <v>251</v>
      </c>
      <c r="F12" s="228">
        <v>50</v>
      </c>
      <c r="G12" s="228">
        <v>0</v>
      </c>
      <c r="H12" s="398">
        <f>F12*N6</f>
        <v>300</v>
      </c>
      <c r="I12" s="230" t="s">
        <v>35</v>
      </c>
      <c r="J12" s="231"/>
      <c r="L12" s="252">
        <v>12</v>
      </c>
      <c r="M12" s="222" t="s">
        <v>252</v>
      </c>
      <c r="O12" s="218"/>
    </row>
    <row r="13" spans="2:18" ht="6.75" customHeight="1">
      <c r="B13" s="256"/>
      <c r="C13" s="257"/>
      <c r="O13" s="218"/>
    </row>
    <row r="14" spans="2:18" ht="18" customHeight="1">
      <c r="B14" s="258" t="s">
        <v>37</v>
      </c>
      <c r="C14" s="259" t="s">
        <v>253</v>
      </c>
      <c r="D14" s="260" t="s">
        <v>38</v>
      </c>
      <c r="E14" s="261" t="s">
        <v>39</v>
      </c>
      <c r="F14" s="261" t="s">
        <v>40</v>
      </c>
      <c r="G14" s="262" t="s">
        <v>41</v>
      </c>
      <c r="H14" s="259" t="s">
        <v>42</v>
      </c>
      <c r="I14" s="440" t="s">
        <v>43</v>
      </c>
      <c r="J14" s="441"/>
      <c r="K14" s="263"/>
      <c r="L14" s="432" t="s">
        <v>44</v>
      </c>
      <c r="M14" s="433"/>
      <c r="N14" s="433"/>
      <c r="O14" s="264" t="s">
        <v>66</v>
      </c>
      <c r="P14" s="265"/>
      <c r="R14" s="266"/>
    </row>
    <row r="15" spans="2:18" ht="18" customHeight="1">
      <c r="B15" s="248" t="s">
        <v>294</v>
      </c>
      <c r="C15" s="267">
        <f>C6*1000*100/1000000</f>
        <v>3.7850000000000001</v>
      </c>
      <c r="D15" s="267">
        <f>(N7+C10)*1000*100/1000000</f>
        <v>6.2679599999999988E-2</v>
      </c>
      <c r="E15" s="267">
        <f>D15*L10</f>
        <v>1.5043103999999996</v>
      </c>
      <c r="F15" s="268">
        <f>E15*L11</f>
        <v>45.129311999999985</v>
      </c>
      <c r="G15" s="269">
        <f>F15*L12</f>
        <v>541.55174399999987</v>
      </c>
      <c r="H15" s="270">
        <f>376000/20</f>
        <v>18800</v>
      </c>
      <c r="I15" s="424">
        <f t="shared" ref="I15:I23" si="0">H15*G15</f>
        <v>10181172.787199998</v>
      </c>
      <c r="J15" s="425"/>
      <c r="K15" s="271"/>
      <c r="L15" s="426" t="s">
        <v>254</v>
      </c>
      <c r="M15" s="427"/>
      <c r="N15" s="427"/>
      <c r="O15" s="272">
        <f t="shared" ref="O15:O23" si="1">360*D15/1.8</f>
        <v>12.535919999999997</v>
      </c>
      <c r="P15" s="273"/>
      <c r="R15" s="274"/>
    </row>
    <row r="16" spans="2:18" ht="18" customHeight="1">
      <c r="B16" s="275" t="s">
        <v>295</v>
      </c>
      <c r="C16" s="276">
        <f>C6*1000*150/1000000</f>
        <v>5.6775000000000002</v>
      </c>
      <c r="D16" s="276">
        <f>(N7+C10)*1000*150/1000000</f>
        <v>9.4019399999999989E-2</v>
      </c>
      <c r="E16" s="276">
        <f>D16*L10</f>
        <v>2.2564655999999998</v>
      </c>
      <c r="F16" s="277">
        <f>E16*L11</f>
        <v>67.693967999999998</v>
      </c>
      <c r="G16" s="278">
        <f>F16*L12</f>
        <v>812.32761600000003</v>
      </c>
      <c r="H16" s="270">
        <f>376000/20</f>
        <v>18800</v>
      </c>
      <c r="I16" s="537">
        <f>H16*G16</f>
        <v>15271759.1808</v>
      </c>
      <c r="J16" s="538"/>
      <c r="K16" s="271"/>
      <c r="L16" s="426" t="s">
        <v>254</v>
      </c>
      <c r="M16" s="427"/>
      <c r="N16" s="427"/>
      <c r="O16" s="272">
        <f t="shared" si="1"/>
        <v>18.803879999999999</v>
      </c>
      <c r="P16" s="273"/>
      <c r="R16" s="274"/>
    </row>
    <row r="17" spans="1:24" ht="18" customHeight="1">
      <c r="B17" s="248" t="s">
        <v>213</v>
      </c>
      <c r="C17" s="267">
        <f>C6*1000*50/1000000</f>
        <v>1.8925000000000001</v>
      </c>
      <c r="D17" s="267">
        <f>(N7+C10)*1000*50/1000000</f>
        <v>3.1339799999999994E-2</v>
      </c>
      <c r="E17" s="267">
        <f>D17*L10</f>
        <v>0.7521551999999998</v>
      </c>
      <c r="F17" s="268">
        <f>E17*L11</f>
        <v>22.564655999999992</v>
      </c>
      <c r="G17" s="269">
        <f>F17*L12</f>
        <v>270.77587199999994</v>
      </c>
      <c r="H17" s="270">
        <f>504000/20</f>
        <v>25200</v>
      </c>
      <c r="I17" s="424">
        <f>H17*G17</f>
        <v>6823551.9743999988</v>
      </c>
      <c r="J17" s="425"/>
      <c r="K17" s="271"/>
      <c r="L17" s="426" t="s">
        <v>254</v>
      </c>
      <c r="M17" s="427"/>
      <c r="N17" s="427"/>
      <c r="O17" s="272">
        <f t="shared" ref="O17" si="2">360*D17/1.8</f>
        <v>6.2679599999999986</v>
      </c>
      <c r="P17" s="273"/>
      <c r="R17" s="274"/>
    </row>
    <row r="18" spans="1:24" ht="18" customHeight="1">
      <c r="B18" s="248" t="s">
        <v>215</v>
      </c>
      <c r="C18" s="267">
        <f>C6*1000*25/1000000</f>
        <v>0.94625000000000004</v>
      </c>
      <c r="D18" s="267">
        <f>(N7+C10)*1000*25/1000000</f>
        <v>1.5669899999999997E-2</v>
      </c>
      <c r="E18" s="267">
        <f>D18*L10</f>
        <v>0.3760775999999999</v>
      </c>
      <c r="F18" s="268">
        <f>E18*L11</f>
        <v>11.282327999999996</v>
      </c>
      <c r="G18" s="269">
        <f>F18*L12</f>
        <v>135.38793599999997</v>
      </c>
      <c r="H18" s="270">
        <f>289000/20</f>
        <v>14450</v>
      </c>
      <c r="I18" s="424">
        <f>H18*G18</f>
        <v>1956355.6751999995</v>
      </c>
      <c r="J18" s="425"/>
      <c r="K18" s="271"/>
      <c r="L18" s="426" t="s">
        <v>254</v>
      </c>
      <c r="M18" s="427"/>
      <c r="N18" s="427"/>
      <c r="O18" s="272">
        <f t="shared" ref="O18:O19" si="3">360*D18/1.8</f>
        <v>3.1339799999999993</v>
      </c>
      <c r="P18" s="273"/>
      <c r="R18" s="274"/>
    </row>
    <row r="19" spans="1:24" ht="18" customHeight="1">
      <c r="B19" s="248" t="s">
        <v>278</v>
      </c>
      <c r="C19" s="267">
        <f>C6*1000*40/1000000</f>
        <v>1.514</v>
      </c>
      <c r="D19" s="402">
        <f>(N7+C10)*1000*40/1000000</f>
        <v>2.5071839999999998E-2</v>
      </c>
      <c r="E19" s="403">
        <f>D20*L10</f>
        <v>0.15043103999999999</v>
      </c>
      <c r="F19" s="404">
        <f>E19*L10</f>
        <v>3.6103449599999999</v>
      </c>
      <c r="G19" s="269">
        <f>F19*L11</f>
        <v>108.3103488</v>
      </c>
      <c r="H19" s="401">
        <f>462000/20</f>
        <v>23100</v>
      </c>
      <c r="I19" s="434">
        <f t="shared" ref="I19" si="4">H19*G19</f>
        <v>2501969.0572799998</v>
      </c>
      <c r="J19" s="435"/>
      <c r="K19" s="271"/>
      <c r="L19" s="426" t="s">
        <v>254</v>
      </c>
      <c r="M19" s="427"/>
      <c r="N19" s="427"/>
      <c r="O19" s="286">
        <f t="shared" si="3"/>
        <v>5.0143679999999993</v>
      </c>
      <c r="P19" s="273"/>
      <c r="R19" s="266"/>
    </row>
    <row r="20" spans="1:24" ht="18" customHeight="1">
      <c r="B20" s="280" t="s">
        <v>74</v>
      </c>
      <c r="C20" s="281">
        <f>C6*1000*10/1000000</f>
        <v>0.3785</v>
      </c>
      <c r="D20" s="282">
        <f>(N7+C10)*1000*10/1000000</f>
        <v>6.2679599999999995E-3</v>
      </c>
      <c r="E20" s="283">
        <f>D20*L10</f>
        <v>0.15043103999999999</v>
      </c>
      <c r="F20" s="284">
        <f>E20*L11</f>
        <v>4.5129311999999997</v>
      </c>
      <c r="G20" s="285">
        <f>F20*L12</f>
        <v>54.155174399999993</v>
      </c>
      <c r="H20" s="401">
        <f>693000/20</f>
        <v>34650</v>
      </c>
      <c r="I20" s="442">
        <f t="shared" si="0"/>
        <v>1876476.7929599998</v>
      </c>
      <c r="J20" s="443"/>
      <c r="K20" s="271"/>
      <c r="L20" s="426" t="s">
        <v>254</v>
      </c>
      <c r="M20" s="427"/>
      <c r="N20" s="427"/>
      <c r="O20" s="286">
        <f t="shared" si="1"/>
        <v>1.2535919999999998</v>
      </c>
      <c r="P20" s="273"/>
      <c r="R20" s="266"/>
    </row>
    <row r="21" spans="1:24" ht="18" customHeight="1">
      <c r="B21" s="280" t="s">
        <v>75</v>
      </c>
      <c r="C21" s="281">
        <f>C6*1000*5/1000000</f>
        <v>0.18925</v>
      </c>
      <c r="D21" s="282">
        <f>(N7+C10)*1000*5/1000000</f>
        <v>3.1339799999999998E-3</v>
      </c>
      <c r="E21" s="283">
        <f>D21*L10</f>
        <v>7.5215519999999994E-2</v>
      </c>
      <c r="F21" s="284">
        <f>E21*L11</f>
        <v>2.2564655999999998</v>
      </c>
      <c r="G21" s="285">
        <f>F21*L12</f>
        <v>27.077587199999996</v>
      </c>
      <c r="H21" s="287">
        <f>1470000/10</f>
        <v>147000</v>
      </c>
      <c r="I21" s="442">
        <f t="shared" si="0"/>
        <v>3980405.3183999993</v>
      </c>
      <c r="J21" s="443"/>
      <c r="K21" s="271"/>
      <c r="L21" s="426" t="s">
        <v>254</v>
      </c>
      <c r="M21" s="427"/>
      <c r="N21" s="427"/>
      <c r="O21" s="286">
        <f t="shared" si="1"/>
        <v>0.62679599999999991</v>
      </c>
      <c r="P21" s="273"/>
    </row>
    <row r="22" spans="1:24" ht="18" customHeight="1">
      <c r="A22" s="245"/>
      <c r="B22" s="280" t="s">
        <v>76</v>
      </c>
      <c r="C22" s="281">
        <f>C6*1000*8/1000000</f>
        <v>0.30280000000000001</v>
      </c>
      <c r="D22" s="282">
        <f>(N7+C10)*1000*8/1000000</f>
        <v>5.0143679999999991E-3</v>
      </c>
      <c r="E22" s="283">
        <f>D22*L10</f>
        <v>0.12034483199999998</v>
      </c>
      <c r="F22" s="284">
        <f>E22*L11</f>
        <v>3.6103449599999995</v>
      </c>
      <c r="G22" s="285">
        <f>F22*L12</f>
        <v>43.324139519999996</v>
      </c>
      <c r="H22" s="287">
        <f>1113000/20</f>
        <v>55650</v>
      </c>
      <c r="I22" s="442">
        <f t="shared" si="0"/>
        <v>2410988.3642879999</v>
      </c>
      <c r="J22" s="443"/>
      <c r="K22" s="271"/>
      <c r="L22" s="426" t="s">
        <v>254</v>
      </c>
      <c r="M22" s="427"/>
      <c r="N22" s="427"/>
      <c r="O22" s="286">
        <f t="shared" si="1"/>
        <v>1.0028735999999998</v>
      </c>
      <c r="P22" s="273"/>
    </row>
    <row r="23" spans="1:24" ht="18" customHeight="1">
      <c r="B23" s="248" t="s">
        <v>214</v>
      </c>
      <c r="C23" s="267">
        <f>C6*1000*400/1000000</f>
        <v>15.14</v>
      </c>
      <c r="D23" s="267">
        <f>(N7+C10)*1000*400/1000000</f>
        <v>0.25071839999999995</v>
      </c>
      <c r="E23" s="267">
        <f>D23*L10</f>
        <v>6.0172415999999984</v>
      </c>
      <c r="F23" s="268">
        <f>E23*L11</f>
        <v>180.51724799999994</v>
      </c>
      <c r="G23" s="269">
        <f>F23*L12</f>
        <v>2166.2069759999995</v>
      </c>
      <c r="H23" s="287">
        <f>305000/20</f>
        <v>15250</v>
      </c>
      <c r="I23" s="424">
        <f t="shared" si="0"/>
        <v>33034656.383999992</v>
      </c>
      <c r="J23" s="425"/>
      <c r="K23" s="271"/>
      <c r="L23" s="426"/>
      <c r="M23" s="427"/>
      <c r="N23" s="427"/>
      <c r="O23" s="288">
        <f t="shared" si="1"/>
        <v>50.143679999999989</v>
      </c>
      <c r="P23" s="273"/>
      <c r="Q23" s="289"/>
    </row>
    <row r="24" spans="1:24" ht="18" hidden="1" customHeight="1">
      <c r="B24" s="280" t="s">
        <v>135</v>
      </c>
      <c r="C24" s="281">
        <f>C6*1000*28/1000000</f>
        <v>1.0598000000000001</v>
      </c>
      <c r="D24" s="281">
        <f>(N7+C10)*1000*28/1000000</f>
        <v>1.7550287999999997E-2</v>
      </c>
      <c r="E24" s="281">
        <f>D24*L10</f>
        <v>0.42120691199999993</v>
      </c>
      <c r="F24" s="290">
        <f>E24*L11</f>
        <v>12.636207359999998</v>
      </c>
      <c r="G24" s="285">
        <f>F24*L12</f>
        <v>151.63448831999997</v>
      </c>
      <c r="H24" s="287">
        <f>420000/20</f>
        <v>21000</v>
      </c>
      <c r="I24" s="442">
        <f>H24*G24</f>
        <v>3184324.2547199996</v>
      </c>
      <c r="J24" s="443"/>
      <c r="K24" s="271"/>
      <c r="L24" s="426" t="s">
        <v>255</v>
      </c>
      <c r="M24" s="427"/>
      <c r="N24" s="427"/>
      <c r="O24" s="288">
        <f>360*D24/0.12/1.8</f>
        <v>29.25048</v>
      </c>
      <c r="P24" s="273"/>
      <c r="Q24" s="289"/>
    </row>
    <row r="25" spans="1:24" ht="18" hidden="1" customHeight="1">
      <c r="B25" s="280" t="s">
        <v>139</v>
      </c>
      <c r="C25" s="281">
        <f>C6*1000*200/1000000</f>
        <v>7.57</v>
      </c>
      <c r="D25" s="281">
        <f>(N7+C10)*1000*200/1000000</f>
        <v>0.12535919999999998</v>
      </c>
      <c r="E25" s="283">
        <f>D25*L10</f>
        <v>3.0086207999999992</v>
      </c>
      <c r="F25" s="284">
        <f>E25*L11</f>
        <v>90.258623999999969</v>
      </c>
      <c r="G25" s="285">
        <f>F25*L12</f>
        <v>1083.1034879999997</v>
      </c>
      <c r="H25" s="291">
        <f>302400/12</f>
        <v>25200</v>
      </c>
      <c r="I25" s="442">
        <f>H25*G25</f>
        <v>27294207.897599995</v>
      </c>
      <c r="J25" s="443"/>
      <c r="K25" s="271"/>
      <c r="L25" s="426"/>
      <c r="M25" s="427"/>
      <c r="N25" s="427"/>
      <c r="O25" s="288">
        <f>360*D25/1.8</f>
        <v>25.071839999999995</v>
      </c>
      <c r="P25" s="273"/>
      <c r="Q25" s="289"/>
    </row>
    <row r="26" spans="1:24" ht="18" customHeight="1">
      <c r="B26" s="248" t="s">
        <v>137</v>
      </c>
      <c r="C26" s="267">
        <f>C6*1000*93/1000000</f>
        <v>3.5200499999999999</v>
      </c>
      <c r="D26" s="267">
        <f>N7*1000*93/1000000</f>
        <v>4.5619847999999998E-2</v>
      </c>
      <c r="E26" s="267">
        <f>D26*L10</f>
        <v>1.094876352</v>
      </c>
      <c r="F26" s="268">
        <f>E26*L11</f>
        <v>32.84629056</v>
      </c>
      <c r="G26" s="269">
        <f>F26*L12</f>
        <v>394.15548672</v>
      </c>
      <c r="H26" s="270">
        <f>126000/20</f>
        <v>6300</v>
      </c>
      <c r="I26" s="434">
        <f>H26*G26</f>
        <v>2483179.5663359999</v>
      </c>
      <c r="J26" s="435"/>
      <c r="K26" s="271"/>
      <c r="L26" s="426"/>
      <c r="M26" s="427"/>
      <c r="N26" s="427"/>
      <c r="O26" s="292">
        <f>360*D26/1.8</f>
        <v>9.1239696000000006</v>
      </c>
      <c r="P26" s="273"/>
      <c r="Q26" s="289"/>
    </row>
    <row r="27" spans="1:24" ht="18" customHeight="1">
      <c r="A27" s="245"/>
      <c r="B27" s="258" t="s">
        <v>49</v>
      </c>
      <c r="C27" s="259" t="s">
        <v>256</v>
      </c>
      <c r="D27" s="259" t="s">
        <v>257</v>
      </c>
      <c r="E27" s="293" t="s">
        <v>50</v>
      </c>
      <c r="F27" s="261" t="s">
        <v>40</v>
      </c>
      <c r="G27" s="262" t="s">
        <v>41</v>
      </c>
      <c r="H27" s="259" t="s">
        <v>42</v>
      </c>
      <c r="I27" s="440" t="s">
        <v>43</v>
      </c>
      <c r="J27" s="441"/>
      <c r="K27" s="263"/>
      <c r="L27" s="432" t="s">
        <v>44</v>
      </c>
      <c r="M27" s="433"/>
      <c r="N27" s="433"/>
      <c r="O27" s="264" t="s">
        <v>51</v>
      </c>
      <c r="P27" s="294"/>
    </row>
    <row r="28" spans="1:24" ht="18" customHeight="1">
      <c r="B28" s="248" t="s">
        <v>116</v>
      </c>
      <c r="C28" s="232">
        <f>C6*1000*57/1000000</f>
        <v>2.1574499999999999</v>
      </c>
      <c r="D28" s="295">
        <v>3.5</v>
      </c>
      <c r="E28" s="232">
        <f t="shared" ref="E28:E36" si="5">C28*7/D28</f>
        <v>4.3148999999999997</v>
      </c>
      <c r="F28" s="232">
        <f t="shared" ref="F28:F35" si="6">E28*30/7</f>
        <v>18.492428571428572</v>
      </c>
      <c r="G28" s="296">
        <f>F28*L12</f>
        <v>221.90914285714285</v>
      </c>
      <c r="H28" s="287">
        <f>588000/20</f>
        <v>29400</v>
      </c>
      <c r="I28" s="424">
        <f t="shared" ref="I28:I32" si="7">G28*H28</f>
        <v>6524128.7999999998</v>
      </c>
      <c r="J28" s="425"/>
      <c r="K28" s="271"/>
      <c r="L28" s="444" t="s">
        <v>117</v>
      </c>
      <c r="M28" s="445"/>
      <c r="N28" s="445"/>
      <c r="O28" s="297">
        <f>60*C28/1.8</f>
        <v>71.915000000000006</v>
      </c>
      <c r="P28" s="391"/>
      <c r="Q28" s="394" t="s">
        <v>279</v>
      </c>
      <c r="R28" s="544">
        <v>3</v>
      </c>
      <c r="S28" s="545"/>
      <c r="T28" s="539" t="s">
        <v>283</v>
      </c>
      <c r="U28" s="540"/>
      <c r="V28" s="540"/>
      <c r="W28" s="540"/>
      <c r="X28" s="540"/>
    </row>
    <row r="29" spans="1:24" ht="18" customHeight="1">
      <c r="B29" s="280" t="s">
        <v>52</v>
      </c>
      <c r="C29" s="299">
        <f>C6*1000*100/1000000</f>
        <v>3.7850000000000001</v>
      </c>
      <c r="D29" s="295">
        <v>3.5</v>
      </c>
      <c r="E29" s="299">
        <f>C29*7/D29</f>
        <v>7.57</v>
      </c>
      <c r="F29" s="299">
        <f>E29*30/7</f>
        <v>32.442857142857143</v>
      </c>
      <c r="G29" s="300">
        <f>F29*L12</f>
        <v>389.31428571428569</v>
      </c>
      <c r="H29" s="287">
        <f>324000/20</f>
        <v>16200</v>
      </c>
      <c r="I29" s="442">
        <f>G29*H29</f>
        <v>6306891.4285714282</v>
      </c>
      <c r="J29" s="443"/>
      <c r="K29" s="301"/>
      <c r="L29" s="444" t="s">
        <v>118</v>
      </c>
      <c r="M29" s="445"/>
      <c r="N29" s="445"/>
      <c r="O29" s="297">
        <f>60*C29/1.8</f>
        <v>126.16666666666667</v>
      </c>
      <c r="P29" s="391"/>
      <c r="Q29" s="394" t="s">
        <v>280</v>
      </c>
      <c r="R29" s="390">
        <f>I15</f>
        <v>10181172.787199998</v>
      </c>
      <c r="S29" s="393">
        <v>21073426.559999999</v>
      </c>
      <c r="T29" s="539" t="s">
        <v>284</v>
      </c>
      <c r="U29" s="540"/>
      <c r="V29" s="540"/>
      <c r="W29" s="540"/>
      <c r="X29" s="540"/>
    </row>
    <row r="30" spans="1:24" ht="18" customHeight="1">
      <c r="B30" s="280" t="s">
        <v>81</v>
      </c>
      <c r="C30" s="299">
        <f>C6*1000*150/1000000</f>
        <v>5.6775000000000002</v>
      </c>
      <c r="D30" s="295">
        <v>3.5</v>
      </c>
      <c r="E30" s="299">
        <f t="shared" si="5"/>
        <v>11.355</v>
      </c>
      <c r="F30" s="299">
        <f t="shared" si="6"/>
        <v>48.664285714285718</v>
      </c>
      <c r="G30" s="300">
        <f>F30*L12</f>
        <v>583.97142857142865</v>
      </c>
      <c r="H30" s="270">
        <f>756000/20</f>
        <v>37800</v>
      </c>
      <c r="I30" s="442">
        <f t="shared" si="7"/>
        <v>22074120.000000004</v>
      </c>
      <c r="J30" s="443"/>
      <c r="K30" s="271"/>
      <c r="L30" s="444" t="s">
        <v>95</v>
      </c>
      <c r="M30" s="445"/>
      <c r="N30" s="445"/>
      <c r="O30" s="297">
        <f t="shared" ref="O30:O36" si="8">60*C30/1.8</f>
        <v>189.25000000000003</v>
      </c>
      <c r="P30" s="391"/>
      <c r="Q30" s="422" t="s">
        <v>282</v>
      </c>
      <c r="R30" s="423"/>
      <c r="S30" s="397">
        <f>N6</f>
        <v>6</v>
      </c>
      <c r="T30" s="541" t="s">
        <v>285</v>
      </c>
      <c r="U30" s="540"/>
      <c r="V30" s="540"/>
      <c r="W30" s="540"/>
      <c r="X30" s="540"/>
    </row>
    <row r="31" spans="1:24" ht="18" customHeight="1">
      <c r="B31" s="248" t="s">
        <v>80</v>
      </c>
      <c r="C31" s="232">
        <f>C6*1000*20/1000000</f>
        <v>0.75700000000000001</v>
      </c>
      <c r="D31" s="295">
        <v>3.5</v>
      </c>
      <c r="E31" s="232">
        <f t="shared" si="5"/>
        <v>1.514</v>
      </c>
      <c r="F31" s="232">
        <f t="shared" si="6"/>
        <v>6.4885714285714284</v>
      </c>
      <c r="G31" s="296">
        <f>F31*L12</f>
        <v>77.862857142857138</v>
      </c>
      <c r="H31" s="287">
        <f>893000/20</f>
        <v>44650</v>
      </c>
      <c r="I31" s="424">
        <f t="shared" si="7"/>
        <v>3476576.5714285714</v>
      </c>
      <c r="J31" s="425"/>
      <c r="K31" s="302"/>
      <c r="L31" s="444" t="s">
        <v>96</v>
      </c>
      <c r="M31" s="445"/>
      <c r="N31" s="445"/>
      <c r="O31" s="297">
        <f t="shared" si="8"/>
        <v>25.233333333333334</v>
      </c>
      <c r="P31" s="391"/>
      <c r="Q31" s="394" t="s">
        <v>280</v>
      </c>
      <c r="R31" s="542">
        <f>I15</f>
        <v>10181172.787199998</v>
      </c>
      <c r="S31" s="543"/>
      <c r="T31" s="392"/>
    </row>
    <row r="32" spans="1:24" ht="18" hidden="1" customHeight="1">
      <c r="B32" s="280" t="s">
        <v>73</v>
      </c>
      <c r="C32" s="299">
        <f>C6*1000*50/1000000</f>
        <v>1.8925000000000001</v>
      </c>
      <c r="D32" s="303">
        <v>14</v>
      </c>
      <c r="E32" s="299">
        <f t="shared" si="5"/>
        <v>0.94625000000000004</v>
      </c>
      <c r="F32" s="299">
        <f t="shared" si="6"/>
        <v>4.0553571428571429</v>
      </c>
      <c r="G32" s="300">
        <f>F32*L12</f>
        <v>48.664285714285711</v>
      </c>
      <c r="H32" s="287">
        <f>772000/20</f>
        <v>38600</v>
      </c>
      <c r="I32" s="442">
        <f t="shared" si="7"/>
        <v>1878441.4285714284</v>
      </c>
      <c r="J32" s="443"/>
      <c r="K32" s="271"/>
      <c r="L32" s="456" t="s">
        <v>258</v>
      </c>
      <c r="M32" s="457"/>
      <c r="N32" s="457"/>
      <c r="O32" s="297"/>
      <c r="P32" s="391"/>
      <c r="Q32" s="394" t="s">
        <v>281</v>
      </c>
      <c r="R32" s="542">
        <f>I19</f>
        <v>2501969.0572799998</v>
      </c>
      <c r="S32" s="543"/>
      <c r="T32" s="392"/>
    </row>
    <row r="33" spans="1:20" ht="18" customHeight="1">
      <c r="B33" s="280" t="s">
        <v>53</v>
      </c>
      <c r="C33" s="299">
        <f>C6*1000*63/1000000</f>
        <v>2.3845499999999999</v>
      </c>
      <c r="D33" s="304">
        <v>3.5</v>
      </c>
      <c r="E33" s="299">
        <f t="shared" si="5"/>
        <v>4.7690999999999999</v>
      </c>
      <c r="F33" s="299">
        <f t="shared" si="6"/>
        <v>20.439</v>
      </c>
      <c r="G33" s="300">
        <f>F33*L12</f>
        <v>245.268</v>
      </c>
      <c r="H33" s="270">
        <f>166000/20</f>
        <v>8300</v>
      </c>
      <c r="I33" s="546">
        <f>(G33*H33)+(G34*H34)</f>
        <v>3870367.9714285713</v>
      </c>
      <c r="J33" s="547"/>
      <c r="K33" s="271"/>
      <c r="L33" s="456"/>
      <c r="M33" s="457"/>
      <c r="N33" s="457"/>
      <c r="O33" s="297">
        <f t="shared" si="8"/>
        <v>79.484999999999999</v>
      </c>
      <c r="P33" s="391"/>
      <c r="Q33" s="395" t="s">
        <v>169</v>
      </c>
      <c r="R33" s="542">
        <f>SUM(R31:R32)</f>
        <v>12683141.844479999</v>
      </c>
      <c r="S33" s="543"/>
      <c r="T33" s="392"/>
    </row>
    <row r="34" spans="1:20" ht="18" customHeight="1">
      <c r="B34" s="280" t="s">
        <v>54</v>
      </c>
      <c r="C34" s="299">
        <f>C6*1000*13/1000000</f>
        <v>0.49204999999999999</v>
      </c>
      <c r="D34" s="305">
        <v>3.5</v>
      </c>
      <c r="E34" s="299">
        <f t="shared" si="5"/>
        <v>0.98409999999999997</v>
      </c>
      <c r="F34" s="299">
        <f t="shared" si="6"/>
        <v>4.2175714285714285</v>
      </c>
      <c r="G34" s="300">
        <f>F34*L12</f>
        <v>50.610857142857142</v>
      </c>
      <c r="H34" s="306">
        <f>725000/20</f>
        <v>36250</v>
      </c>
      <c r="I34" s="548"/>
      <c r="J34" s="549"/>
      <c r="K34" s="271"/>
      <c r="L34" s="456"/>
      <c r="M34" s="457"/>
      <c r="N34" s="457"/>
      <c r="O34" s="297">
        <f t="shared" si="8"/>
        <v>16.401666666666667</v>
      </c>
      <c r="P34" s="391"/>
      <c r="S34" s="396">
        <f>(R33-S29)/S29</f>
        <v>-0.39814525139664808</v>
      </c>
      <c r="T34" s="392"/>
    </row>
    <row r="35" spans="1:20" ht="18" customHeight="1">
      <c r="B35" s="280" t="s">
        <v>72</v>
      </c>
      <c r="C35" s="299">
        <f>C6*1000*100/1000000</f>
        <v>3.7850000000000001</v>
      </c>
      <c r="D35" s="305">
        <v>3.5</v>
      </c>
      <c r="E35" s="299">
        <f t="shared" si="5"/>
        <v>7.57</v>
      </c>
      <c r="F35" s="299">
        <f t="shared" si="6"/>
        <v>32.442857142857143</v>
      </c>
      <c r="G35" s="300">
        <f>F35*L12</f>
        <v>389.31428571428569</v>
      </c>
      <c r="H35" s="270">
        <f>462000/20</f>
        <v>23100</v>
      </c>
      <c r="I35" s="442">
        <f>G35*H35</f>
        <v>8993160</v>
      </c>
      <c r="J35" s="443"/>
      <c r="K35" s="271"/>
      <c r="L35" s="456" t="s">
        <v>259</v>
      </c>
      <c r="M35" s="457"/>
      <c r="N35" s="457"/>
      <c r="O35" s="297">
        <f t="shared" si="8"/>
        <v>126.16666666666667</v>
      </c>
      <c r="P35" s="298"/>
    </row>
    <row r="36" spans="1:20" ht="18" customHeight="1">
      <c r="B36" s="248" t="s">
        <v>142</v>
      </c>
      <c r="C36" s="232">
        <f>C6*1000*40/1000000</f>
        <v>1.514</v>
      </c>
      <c r="D36" s="304">
        <v>3.5</v>
      </c>
      <c r="E36" s="232">
        <f t="shared" si="5"/>
        <v>3.028</v>
      </c>
      <c r="F36" s="232">
        <f>E36*30/7</f>
        <v>12.977142857142857</v>
      </c>
      <c r="G36" s="296">
        <f>F36*L12</f>
        <v>155.72571428571428</v>
      </c>
      <c r="H36" s="287">
        <f>609000/20</f>
        <v>30450</v>
      </c>
      <c r="I36" s="424">
        <f>H36*G36</f>
        <v>4741848</v>
      </c>
      <c r="J36" s="425"/>
      <c r="K36" s="302"/>
      <c r="L36" s="436"/>
      <c r="M36" s="437"/>
      <c r="N36" s="437"/>
      <c r="O36" s="307">
        <f t="shared" si="8"/>
        <v>50.466666666666669</v>
      </c>
      <c r="P36" s="298"/>
    </row>
    <row r="37" spans="1:20" ht="18" customHeight="1">
      <c r="A37" s="245"/>
      <c r="B37" s="258" t="s">
        <v>143</v>
      </c>
      <c r="C37" s="259" t="s">
        <v>260</v>
      </c>
      <c r="D37" s="260" t="s">
        <v>145</v>
      </c>
      <c r="E37" s="261" t="s">
        <v>146</v>
      </c>
      <c r="F37" s="261" t="s">
        <v>147</v>
      </c>
      <c r="G37" s="262" t="s">
        <v>148</v>
      </c>
      <c r="H37" s="259" t="s">
        <v>149</v>
      </c>
      <c r="I37" s="440" t="s">
        <v>150</v>
      </c>
      <c r="J37" s="441"/>
      <c r="K37" s="263"/>
      <c r="L37" s="432" t="s">
        <v>151</v>
      </c>
      <c r="M37" s="433"/>
      <c r="N37" s="433"/>
      <c r="O37" s="264" t="s">
        <v>51</v>
      </c>
      <c r="P37" s="294"/>
    </row>
    <row r="38" spans="1:20" ht="18" customHeight="1">
      <c r="B38" s="248" t="s">
        <v>152</v>
      </c>
      <c r="C38" s="232">
        <v>0.2</v>
      </c>
      <c r="D38" s="308">
        <f>(C38/1000000*C7*1000)*(50/100)*(100/12)</f>
        <v>0.56774999999999998</v>
      </c>
      <c r="E38" s="225">
        <f>D38*L10</f>
        <v>13.625999999999999</v>
      </c>
      <c r="F38" s="309">
        <f>E38*L11</f>
        <v>408.78</v>
      </c>
      <c r="G38" s="310">
        <f>F38*L12</f>
        <v>4905.3599999999997</v>
      </c>
      <c r="H38" s="270">
        <f>166000/20</f>
        <v>8300</v>
      </c>
      <c r="I38" s="424">
        <f>H38*G38</f>
        <v>40714488</v>
      </c>
      <c r="J38" s="425"/>
      <c r="K38" s="302"/>
      <c r="L38" s="436"/>
      <c r="M38" s="437"/>
      <c r="N38" s="437"/>
      <c r="O38" s="272">
        <f>360*D38/1.8</f>
        <v>113.54999999999998</v>
      </c>
      <c r="P38" s="298"/>
    </row>
    <row r="39" spans="1:20" ht="18" customHeight="1">
      <c r="B39" s="248" t="s">
        <v>142</v>
      </c>
      <c r="C39" s="311" t="s">
        <v>153</v>
      </c>
      <c r="D39" s="308">
        <f>N7*1000*24/1000000</f>
        <v>1.1772863999999997E-2</v>
      </c>
      <c r="E39" s="225">
        <f>D39*L10</f>
        <v>0.28254873599999997</v>
      </c>
      <c r="F39" s="309">
        <f>E39*L11</f>
        <v>8.4764620799999992</v>
      </c>
      <c r="G39" s="310">
        <f>F39*L12</f>
        <v>101.71754496</v>
      </c>
      <c r="H39" s="287">
        <f>609000/20</f>
        <v>30450</v>
      </c>
      <c r="I39" s="424">
        <f>H39*G39</f>
        <v>3097299.2440319997</v>
      </c>
      <c r="J39" s="425"/>
      <c r="K39" s="302"/>
      <c r="L39" s="436"/>
      <c r="M39" s="437"/>
      <c r="N39" s="437"/>
      <c r="O39" s="272">
        <f>360*D39/1.8</f>
        <v>2.3545727999999992</v>
      </c>
      <c r="P39" s="298"/>
    </row>
    <row r="40" spans="1:20" ht="18" customHeight="1">
      <c r="B40" s="258" t="s">
        <v>85</v>
      </c>
      <c r="C40" s="259" t="s">
        <v>256</v>
      </c>
      <c r="D40" s="259" t="s">
        <v>257</v>
      </c>
      <c r="E40" s="261"/>
      <c r="F40" s="261"/>
      <c r="G40" s="259" t="s">
        <v>261</v>
      </c>
      <c r="H40" s="259" t="s">
        <v>262</v>
      </c>
      <c r="I40" s="440" t="s">
        <v>263</v>
      </c>
      <c r="J40" s="441"/>
      <c r="K40" s="263"/>
      <c r="L40" s="432" t="s">
        <v>44</v>
      </c>
      <c r="M40" s="433"/>
      <c r="N40" s="433"/>
      <c r="O40" s="264"/>
      <c r="P40" s="265"/>
    </row>
    <row r="41" spans="1:20" ht="18" customHeight="1">
      <c r="A41" s="245"/>
      <c r="B41" s="248" t="s">
        <v>216</v>
      </c>
      <c r="C41" s="232">
        <f>C6*1000*50/1000000</f>
        <v>1.8925000000000001</v>
      </c>
      <c r="D41" s="312">
        <v>180</v>
      </c>
      <c r="E41" s="232"/>
      <c r="F41" s="232"/>
      <c r="G41" s="296">
        <f>C41*7/D41*L11/7*L12</f>
        <v>3.7850000000000001</v>
      </c>
      <c r="H41" s="270">
        <v>29000</v>
      </c>
      <c r="I41" s="424">
        <f>(C41+G41)*H41</f>
        <v>164647.5</v>
      </c>
      <c r="J41" s="425"/>
      <c r="K41" s="302"/>
      <c r="L41" s="426"/>
      <c r="M41" s="427"/>
      <c r="N41" s="427"/>
      <c r="O41" s="451"/>
      <c r="P41" s="273"/>
    </row>
    <row r="42" spans="1:20" ht="18" hidden="1" customHeight="1">
      <c r="A42" s="245"/>
      <c r="B42" s="279" t="s">
        <v>155</v>
      </c>
      <c r="C42" s="313">
        <f>C6*1000*1650/1000000</f>
        <v>62.452500000000001</v>
      </c>
      <c r="D42" s="312">
        <v>180</v>
      </c>
      <c r="E42" s="313"/>
      <c r="F42" s="313"/>
      <c r="G42" s="314">
        <f>C42*7/D42*L12/7*L13</f>
        <v>0</v>
      </c>
      <c r="H42" s="269">
        <f>2300*7.7</f>
        <v>17710</v>
      </c>
      <c r="I42" s="438">
        <f>(C42+G42)*H42</f>
        <v>1106033.7749999999</v>
      </c>
      <c r="J42" s="439"/>
      <c r="K42" s="315"/>
      <c r="L42" s="522"/>
      <c r="M42" s="523"/>
      <c r="N42" s="523"/>
      <c r="O42" s="524"/>
      <c r="P42" s="316"/>
    </row>
    <row r="43" spans="1:20" ht="18" customHeight="1">
      <c r="A43" s="245"/>
      <c r="B43" s="248" t="s">
        <v>158</v>
      </c>
      <c r="C43" s="232">
        <f>C6*1000*500/1000000</f>
        <v>18.925000000000001</v>
      </c>
      <c r="D43" s="312">
        <v>180</v>
      </c>
      <c r="E43" s="232"/>
      <c r="F43" s="232"/>
      <c r="G43" s="296">
        <f>C43*7/D43*L11/7*L12</f>
        <v>37.849999999999994</v>
      </c>
      <c r="H43" s="270">
        <f>336000/20</f>
        <v>16800</v>
      </c>
      <c r="I43" s="424">
        <f t="shared" ref="I43:I44" si="9">(C43+G43)*H43</f>
        <v>953819.99999999988</v>
      </c>
      <c r="J43" s="425"/>
      <c r="K43" s="315"/>
      <c r="L43" s="522"/>
      <c r="M43" s="523"/>
      <c r="N43" s="523"/>
      <c r="O43" s="524"/>
      <c r="P43" s="273"/>
    </row>
    <row r="44" spans="1:20" ht="18" customHeight="1">
      <c r="A44" s="245"/>
      <c r="B44" s="248" t="s">
        <v>159</v>
      </c>
      <c r="C44" s="232">
        <f>C6*1000*500/1000000</f>
        <v>18.925000000000001</v>
      </c>
      <c r="D44" s="312">
        <v>180</v>
      </c>
      <c r="E44" s="232"/>
      <c r="F44" s="232"/>
      <c r="G44" s="296">
        <f>C44*7/D44*L11/7*L12</f>
        <v>37.849999999999994</v>
      </c>
      <c r="H44" s="270">
        <f>326000/12</f>
        <v>27166.666666666668</v>
      </c>
      <c r="I44" s="424">
        <f t="shared" si="9"/>
        <v>1542387.4999999998</v>
      </c>
      <c r="J44" s="425"/>
      <c r="K44" s="315"/>
      <c r="L44" s="522"/>
      <c r="M44" s="523"/>
      <c r="N44" s="523"/>
      <c r="O44" s="524"/>
      <c r="P44" s="273"/>
    </row>
    <row r="45" spans="1:20" ht="18" customHeight="1">
      <c r="B45" s="258" t="s">
        <v>69</v>
      </c>
      <c r="C45" s="259" t="s">
        <v>253</v>
      </c>
      <c r="D45" s="260" t="s">
        <v>38</v>
      </c>
      <c r="E45" s="261" t="s">
        <v>39</v>
      </c>
      <c r="F45" s="261" t="s">
        <v>61</v>
      </c>
      <c r="G45" s="262" t="s">
        <v>71</v>
      </c>
      <c r="H45" s="259" t="s">
        <v>77</v>
      </c>
      <c r="I45" s="440" t="s">
        <v>43</v>
      </c>
      <c r="J45" s="441"/>
      <c r="K45" s="263"/>
      <c r="L45" s="432" t="s">
        <v>44</v>
      </c>
      <c r="M45" s="433"/>
      <c r="N45" s="433"/>
      <c r="O45" s="264" t="s">
        <v>66</v>
      </c>
      <c r="P45" s="265"/>
    </row>
    <row r="46" spans="1:20" s="317" customFormat="1" ht="18" customHeight="1">
      <c r="B46" s="248" t="s">
        <v>296</v>
      </c>
      <c r="C46" s="267">
        <f>C6*1000*100/1000000</f>
        <v>3.7850000000000001</v>
      </c>
      <c r="D46" s="318">
        <f>E46/L10</f>
        <v>3.1339799999999993</v>
      </c>
      <c r="E46" s="319">
        <f>F46/0.005/L11</f>
        <v>75.215519999999984</v>
      </c>
      <c r="F46" s="319">
        <f>G46/L12</f>
        <v>11.282327999999998</v>
      </c>
      <c r="G46" s="318">
        <f>(N7+C10)*1000*25/1000000*L10*L11*L12</f>
        <v>135.38793599999997</v>
      </c>
      <c r="H46" s="270">
        <f>462000/5</f>
        <v>92400</v>
      </c>
      <c r="I46" s="424">
        <f>H46*G46</f>
        <v>12509845.286399998</v>
      </c>
      <c r="J46" s="425"/>
      <c r="K46" s="302"/>
      <c r="L46" s="430" t="s">
        <v>264</v>
      </c>
      <c r="M46" s="431"/>
      <c r="N46" s="431"/>
      <c r="O46" s="320">
        <f>360*D46/1.8</f>
        <v>626.79599999999982</v>
      </c>
      <c r="P46" s="321" t="s">
        <v>109</v>
      </c>
    </row>
    <row r="47" spans="1:20" s="317" customFormat="1" ht="18" customHeight="1">
      <c r="B47" s="248" t="s">
        <v>157</v>
      </c>
      <c r="C47" s="267">
        <f>C4/100*0.6</f>
        <v>6</v>
      </c>
      <c r="D47" s="322" t="s">
        <v>265</v>
      </c>
      <c r="E47" s="319"/>
      <c r="F47" s="319">
        <f>C47</f>
        <v>6</v>
      </c>
      <c r="G47" s="318">
        <f>F47*L12</f>
        <v>72</v>
      </c>
      <c r="H47" s="287">
        <f>536000/1.2</f>
        <v>446666.66666666669</v>
      </c>
      <c r="I47" s="424">
        <f>H47*G47</f>
        <v>32160000</v>
      </c>
      <c r="J47" s="425"/>
      <c r="K47" s="302"/>
      <c r="L47" s="430" t="s">
        <v>205</v>
      </c>
      <c r="M47" s="431"/>
      <c r="N47" s="431"/>
      <c r="O47" s="525"/>
      <c r="P47" s="321"/>
    </row>
    <row r="48" spans="1:20" ht="18" customHeight="1">
      <c r="B48" s="258" t="s">
        <v>70</v>
      </c>
      <c r="C48" s="259" t="s">
        <v>256</v>
      </c>
      <c r="D48" s="259" t="s">
        <v>257</v>
      </c>
      <c r="E48" s="261" t="s">
        <v>82</v>
      </c>
      <c r="F48" s="261" t="s">
        <v>61</v>
      </c>
      <c r="G48" s="262" t="s">
        <v>83</v>
      </c>
      <c r="H48" s="259" t="s">
        <v>77</v>
      </c>
      <c r="I48" s="440" t="s">
        <v>43</v>
      </c>
      <c r="J48" s="441"/>
      <c r="K48" s="263"/>
      <c r="L48" s="432" t="s">
        <v>44</v>
      </c>
      <c r="M48" s="433"/>
      <c r="N48" s="433"/>
      <c r="O48" s="264" t="s">
        <v>51</v>
      </c>
    </row>
    <row r="49" spans="1:17" s="317" customFormat="1" ht="18" customHeight="1">
      <c r="B49" s="413" t="s">
        <v>297</v>
      </c>
      <c r="C49" s="414">
        <f>C6*1000*4/1000000/0.02</f>
        <v>7.57</v>
      </c>
      <c r="D49" s="415">
        <v>3.5</v>
      </c>
      <c r="E49" s="416">
        <f>C6*1000*4/1000000*7/D49</f>
        <v>0.30280000000000001</v>
      </c>
      <c r="F49" s="416">
        <f>E49*30/7</f>
        <v>1.2977142857142856</v>
      </c>
      <c r="G49" s="417">
        <f>F49*L12</f>
        <v>15.572571428571427</v>
      </c>
      <c r="H49" s="418">
        <f>477000/2.27</f>
        <v>210132.15859030836</v>
      </c>
      <c r="I49" s="509">
        <f>H49*G49</f>
        <v>3272298.049087476</v>
      </c>
      <c r="J49" s="510"/>
      <c r="K49" s="419"/>
      <c r="L49" s="517" t="s">
        <v>217</v>
      </c>
      <c r="M49" s="518"/>
      <c r="N49" s="518"/>
      <c r="O49" s="420">
        <f>60*C49/1.8</f>
        <v>252.33333333333334</v>
      </c>
      <c r="P49" s="421" t="s">
        <v>63</v>
      </c>
    </row>
    <row r="50" spans="1:17" s="317" customFormat="1" ht="18" hidden="1" customHeight="1">
      <c r="B50" s="326" t="s">
        <v>133</v>
      </c>
      <c r="C50" s="327">
        <f>C6*1000*1.2/1000000</f>
        <v>4.5420000000000002E-2</v>
      </c>
      <c r="D50" s="328">
        <v>3.5</v>
      </c>
      <c r="E50" s="329">
        <f>C6*1000*1.2/1000000*7/D50</f>
        <v>9.0840000000000004E-2</v>
      </c>
      <c r="F50" s="330">
        <f>E50*30/7</f>
        <v>0.38931428571428572</v>
      </c>
      <c r="G50" s="331">
        <f>F50*L12</f>
        <v>4.6717714285714287</v>
      </c>
      <c r="H50" s="332">
        <f>412.2*1200*1.4*5/20</f>
        <v>173124</v>
      </c>
      <c r="I50" s="428">
        <f>H50*G50</f>
        <v>808795.75679999997</v>
      </c>
      <c r="J50" s="429"/>
      <c r="K50" s="333"/>
      <c r="L50" s="334"/>
      <c r="M50" s="335"/>
      <c r="N50" s="335"/>
      <c r="O50" s="336"/>
      <c r="P50" s="321"/>
    </row>
    <row r="51" spans="1:17" s="317" customFormat="1" ht="18" customHeight="1">
      <c r="B51" s="339" t="s">
        <v>209</v>
      </c>
      <c r="C51" s="410">
        <f>C6*1000*1.2/1000000/0.005</f>
        <v>9.0839999999999996</v>
      </c>
      <c r="D51" s="337">
        <v>3.5</v>
      </c>
      <c r="E51" s="411">
        <f>C6*1000*1.2/1000000*7/D51</f>
        <v>9.0840000000000004E-2</v>
      </c>
      <c r="F51" s="341">
        <f>E51*30/7</f>
        <v>0.38931428571428572</v>
      </c>
      <c r="G51" s="412">
        <f>F51*L12</f>
        <v>4.6717714285714287</v>
      </c>
      <c r="H51" s="287">
        <f>735000/2</f>
        <v>367500</v>
      </c>
      <c r="I51" s="526">
        <f>H51*G51</f>
        <v>1716876</v>
      </c>
      <c r="J51" s="527"/>
      <c r="K51" s="324"/>
      <c r="L51" s="528" t="s">
        <v>266</v>
      </c>
      <c r="M51" s="529"/>
      <c r="N51" s="529"/>
      <c r="O51" s="325">
        <f>60*C51/1.8</f>
        <v>302.79999999999995</v>
      </c>
      <c r="P51" s="321" t="s">
        <v>63</v>
      </c>
      <c r="Q51" s="338" t="s">
        <v>211</v>
      </c>
    </row>
    <row r="52" spans="1:17" s="317" customFormat="1" ht="18" customHeight="1">
      <c r="B52" s="339" t="s">
        <v>210</v>
      </c>
      <c r="C52" s="323">
        <f>C6*1000*40/1000000</f>
        <v>1.514</v>
      </c>
      <c r="D52" s="340">
        <v>7</v>
      </c>
      <c r="E52" s="232">
        <f>C52*7/D52</f>
        <v>1.514</v>
      </c>
      <c r="F52" s="341">
        <f>E52*30/7</f>
        <v>6.4885714285714284</v>
      </c>
      <c r="G52" s="342">
        <f>F52*L12</f>
        <v>77.862857142857138</v>
      </c>
      <c r="H52" s="287">
        <f>168000/5</f>
        <v>33600</v>
      </c>
      <c r="I52" s="463">
        <f>H52*G52</f>
        <v>2616192</v>
      </c>
      <c r="J52" s="463"/>
      <c r="K52" s="324"/>
      <c r="L52" s="511"/>
      <c r="M52" s="512"/>
      <c r="N52" s="512"/>
      <c r="O52" s="513"/>
      <c r="P52" s="321" t="s">
        <v>89</v>
      </c>
      <c r="Q52" s="338"/>
    </row>
    <row r="53" spans="1:17" s="317" customFormat="1" ht="18" hidden="1" customHeight="1">
      <c r="B53" s="326" t="s">
        <v>68</v>
      </c>
      <c r="C53" s="313">
        <f>C6*1000*50/1000000</f>
        <v>1.8925000000000001</v>
      </c>
      <c r="D53" s="343">
        <v>21</v>
      </c>
      <c r="E53" s="344"/>
      <c r="F53" s="313">
        <f>C53*30/D53</f>
        <v>2.7035714285714287</v>
      </c>
      <c r="G53" s="314">
        <f>F53*L12</f>
        <v>32.442857142857143</v>
      </c>
      <c r="H53" s="345">
        <f>620730/2.5</f>
        <v>248292</v>
      </c>
      <c r="I53" s="464">
        <f>H53*G53</f>
        <v>8055301.885714286</v>
      </c>
      <c r="J53" s="464"/>
      <c r="K53" s="333"/>
      <c r="L53" s="514" t="s">
        <v>94</v>
      </c>
      <c r="M53" s="515"/>
      <c r="N53" s="515"/>
      <c r="O53" s="516"/>
      <c r="P53" s="346" t="s">
        <v>98</v>
      </c>
    </row>
    <row r="54" spans="1:17" ht="5.5" customHeight="1">
      <c r="B54" s="256"/>
      <c r="O54" s="218"/>
    </row>
    <row r="55" spans="1:17" s="317" customFormat="1" ht="18" customHeight="1">
      <c r="B55" s="519" t="s">
        <v>64</v>
      </c>
      <c r="C55" s="520"/>
      <c r="D55" s="520"/>
      <c r="E55" s="520"/>
      <c r="F55" s="521"/>
      <c r="G55" s="347" t="s">
        <v>65</v>
      </c>
      <c r="H55" s="348" t="s">
        <v>62</v>
      </c>
      <c r="I55" s="440" t="s">
        <v>267</v>
      </c>
      <c r="J55" s="441"/>
      <c r="K55" s="349"/>
      <c r="L55" s="448"/>
      <c r="M55" s="449"/>
      <c r="N55" s="449"/>
      <c r="O55" s="450"/>
      <c r="P55" s="321"/>
    </row>
    <row r="56" spans="1:17" s="317" customFormat="1" ht="18" customHeight="1" thickBot="1">
      <c r="B56" s="501" t="s">
        <v>206</v>
      </c>
      <c r="C56" s="502"/>
      <c r="D56" s="502"/>
      <c r="E56" s="502"/>
      <c r="F56" s="503"/>
      <c r="G56" s="350">
        <v>1</v>
      </c>
      <c r="H56" s="405">
        <v>450000</v>
      </c>
      <c r="I56" s="504">
        <v>0</v>
      </c>
      <c r="J56" s="505"/>
      <c r="K56" s="351"/>
      <c r="L56" s="506" t="s">
        <v>136</v>
      </c>
      <c r="M56" s="507"/>
      <c r="N56" s="507"/>
      <c r="O56" s="508"/>
      <c r="P56" s="321"/>
    </row>
    <row r="57" spans="1:17" ht="5.5" customHeight="1" thickBot="1">
      <c r="A57" s="245"/>
      <c r="B57" s="256"/>
      <c r="C57" s="274"/>
      <c r="D57" s="352"/>
      <c r="E57" s="274"/>
      <c r="F57" s="274"/>
      <c r="G57" s="353"/>
      <c r="H57" s="352"/>
      <c r="I57" s="354"/>
      <c r="J57" s="354"/>
      <c r="K57" s="302"/>
      <c r="L57" s="355"/>
      <c r="M57" s="355"/>
      <c r="N57" s="355"/>
      <c r="O57" s="356"/>
      <c r="P57" s="273"/>
    </row>
    <row r="58" spans="1:17" ht="18" customHeight="1">
      <c r="B58" s="480" t="s">
        <v>55</v>
      </c>
      <c r="C58" s="357" t="s">
        <v>268</v>
      </c>
      <c r="D58" s="358" t="s">
        <v>269</v>
      </c>
      <c r="E58" s="359" t="s">
        <v>270</v>
      </c>
      <c r="F58" s="360" t="s">
        <v>271</v>
      </c>
      <c r="G58" s="360" t="s">
        <v>272</v>
      </c>
      <c r="H58" s="357" t="s">
        <v>273</v>
      </c>
      <c r="I58" s="465" t="s">
        <v>127</v>
      </c>
      <c r="J58" s="466"/>
      <c r="K58" s="361"/>
      <c r="L58" s="483" t="s">
        <v>44</v>
      </c>
      <c r="M58" s="484"/>
      <c r="N58" s="484"/>
      <c r="O58" s="485"/>
      <c r="P58" s="265"/>
    </row>
    <row r="59" spans="1:17" ht="18" customHeight="1">
      <c r="B59" s="481"/>
      <c r="C59" s="477" t="s">
        <v>56</v>
      </c>
      <c r="D59" s="362" t="s">
        <v>57</v>
      </c>
      <c r="E59" s="473">
        <v>1</v>
      </c>
      <c r="F59" s="296">
        <f>E59*1000*11100/1000000</f>
        <v>11.1</v>
      </c>
      <c r="G59" s="362" t="s">
        <v>130</v>
      </c>
      <c r="H59" s="287">
        <f>336000/20</f>
        <v>16800</v>
      </c>
      <c r="I59" s="459">
        <f>F59*H59</f>
        <v>186480</v>
      </c>
      <c r="J59" s="459"/>
      <c r="K59" s="302"/>
      <c r="L59" s="456" t="s">
        <v>290</v>
      </c>
      <c r="M59" s="457"/>
      <c r="N59" s="457"/>
      <c r="O59" s="458"/>
    </row>
    <row r="60" spans="1:17" ht="18" customHeight="1">
      <c r="B60" s="481"/>
      <c r="C60" s="478"/>
      <c r="D60" s="362" t="s">
        <v>58</v>
      </c>
      <c r="E60" s="474"/>
      <c r="F60" s="296">
        <f>E59*1000*2400/1000000</f>
        <v>2.4</v>
      </c>
      <c r="G60" s="362" t="s">
        <v>130</v>
      </c>
      <c r="H60" s="287">
        <f>326000/20</f>
        <v>16300</v>
      </c>
      <c r="I60" s="459">
        <f>F60*H60</f>
        <v>39120</v>
      </c>
      <c r="J60" s="459"/>
      <c r="K60" s="302"/>
      <c r="L60" s="470" t="s">
        <v>290</v>
      </c>
      <c r="M60" s="471"/>
      <c r="N60" s="471"/>
      <c r="O60" s="472"/>
    </row>
    <row r="61" spans="1:17" ht="18" hidden="1" customHeight="1">
      <c r="B61" s="481"/>
      <c r="C61" s="478"/>
      <c r="D61" s="362" t="s">
        <v>286</v>
      </c>
      <c r="E61" s="474"/>
      <c r="F61" s="296">
        <f>E59*1000*1000/1000000</f>
        <v>1</v>
      </c>
      <c r="G61" s="362" t="s">
        <v>130</v>
      </c>
      <c r="H61" s="287">
        <v>24000</v>
      </c>
      <c r="I61" s="469">
        <f>F61*H61</f>
        <v>24000</v>
      </c>
      <c r="J61" s="469"/>
      <c r="K61" s="302"/>
      <c r="L61" s="470" t="s">
        <v>287</v>
      </c>
      <c r="M61" s="471"/>
      <c r="N61" s="471"/>
      <c r="O61" s="472"/>
    </row>
    <row r="62" spans="1:17" ht="18" hidden="1" customHeight="1">
      <c r="B62" s="481"/>
      <c r="C62" s="478"/>
      <c r="D62" s="362" t="s">
        <v>141</v>
      </c>
      <c r="E62" s="474"/>
      <c r="F62" s="407">
        <f>E59*1000*692/1000000/9.1</f>
        <v>7.6043956043956043E-2</v>
      </c>
      <c r="G62" s="362" t="s">
        <v>131</v>
      </c>
      <c r="H62" s="270">
        <v>1296000</v>
      </c>
      <c r="I62" s="476">
        <f>H62*F62</f>
        <v>98552.967032967033</v>
      </c>
      <c r="J62" s="476"/>
      <c r="K62" s="271"/>
      <c r="L62" s="486" t="s">
        <v>121</v>
      </c>
      <c r="M62" s="487"/>
      <c r="N62" s="487"/>
      <c r="O62" s="488"/>
      <c r="P62" s="216" t="s">
        <v>123</v>
      </c>
    </row>
    <row r="63" spans="1:17" ht="18" customHeight="1">
      <c r="B63" s="481"/>
      <c r="C63" s="478"/>
      <c r="D63" s="362" t="s">
        <v>289</v>
      </c>
      <c r="E63" s="474"/>
      <c r="F63" s="296">
        <f>E59*1000*500/1000000</f>
        <v>0.5</v>
      </c>
      <c r="G63" s="362" t="s">
        <v>130</v>
      </c>
      <c r="H63" s="287">
        <f>525000/20</f>
        <v>26250</v>
      </c>
      <c r="I63" s="459">
        <f>F63*H63</f>
        <v>13125</v>
      </c>
      <c r="J63" s="459"/>
      <c r="K63" s="400"/>
      <c r="L63" s="498" t="s">
        <v>293</v>
      </c>
      <c r="M63" s="499"/>
      <c r="N63" s="499"/>
      <c r="O63" s="500"/>
    </row>
    <row r="64" spans="1:17" ht="18" customHeight="1">
      <c r="B64" s="481"/>
      <c r="C64" s="478"/>
      <c r="D64" s="362" t="s">
        <v>59</v>
      </c>
      <c r="E64" s="474"/>
      <c r="F64" s="296">
        <f>E59*1000*1050/1000000</f>
        <v>1.05</v>
      </c>
      <c r="G64" s="362" t="s">
        <v>130</v>
      </c>
      <c r="H64" s="287">
        <f>903000/20</f>
        <v>45150</v>
      </c>
      <c r="I64" s="459">
        <f>F64*H64</f>
        <v>47407.5</v>
      </c>
      <c r="J64" s="459"/>
      <c r="K64" s="302"/>
      <c r="L64" s="456" t="s">
        <v>291</v>
      </c>
      <c r="M64" s="457"/>
      <c r="N64" s="457"/>
      <c r="O64" s="458"/>
    </row>
    <row r="65" spans="1:16" ht="18" customHeight="1">
      <c r="B65" s="481"/>
      <c r="C65" s="478"/>
      <c r="D65" s="362" t="s">
        <v>288</v>
      </c>
      <c r="E65" s="474"/>
      <c r="F65" s="296">
        <f>E59*1000*1500/1000000</f>
        <v>1.5</v>
      </c>
      <c r="G65" s="362" t="s">
        <v>130</v>
      </c>
      <c r="H65" s="287">
        <f>1260000/20</f>
        <v>63000</v>
      </c>
      <c r="I65" s="459">
        <f>F65*H65</f>
        <v>94500</v>
      </c>
      <c r="J65" s="459"/>
      <c r="K65" s="399"/>
      <c r="L65" s="498" t="s">
        <v>292</v>
      </c>
      <c r="M65" s="499"/>
      <c r="N65" s="499"/>
      <c r="O65" s="500"/>
    </row>
    <row r="66" spans="1:16" ht="18" customHeight="1">
      <c r="B66" s="481"/>
      <c r="C66" s="479"/>
      <c r="D66" s="362" t="s">
        <v>154</v>
      </c>
      <c r="E66" s="474"/>
      <c r="F66" s="296">
        <f>E59*1000*230/1000000</f>
        <v>0.23</v>
      </c>
      <c r="G66" s="362" t="s">
        <v>140</v>
      </c>
      <c r="H66" s="270">
        <f>2951000/9.1</f>
        <v>324285.71428571432</v>
      </c>
      <c r="I66" s="459">
        <f>F66*H66</f>
        <v>74585.71428571429</v>
      </c>
      <c r="J66" s="459"/>
      <c r="K66" s="302"/>
      <c r="L66" s="456" t="s">
        <v>156</v>
      </c>
      <c r="M66" s="457"/>
      <c r="N66" s="457"/>
      <c r="O66" s="458"/>
    </row>
    <row r="67" spans="1:16" ht="18" hidden="1" customHeight="1">
      <c r="B67" s="481"/>
      <c r="C67" s="363"/>
      <c r="D67" s="369" t="s">
        <v>219</v>
      </c>
      <c r="E67" s="474"/>
      <c r="F67" s="408">
        <f>E59*1000*100/1000000</f>
        <v>0.1</v>
      </c>
      <c r="G67" s="362" t="s">
        <v>140</v>
      </c>
      <c r="H67" s="364">
        <f>184000/10</f>
        <v>18400</v>
      </c>
      <c r="I67" s="489">
        <f>H67*F67</f>
        <v>1840</v>
      </c>
      <c r="J67" s="489"/>
      <c r="K67" s="365"/>
      <c r="L67" s="366"/>
      <c r="M67" s="367"/>
      <c r="N67" s="367"/>
      <c r="O67" s="368"/>
    </row>
    <row r="68" spans="1:16" ht="18" hidden="1" customHeight="1">
      <c r="B68" s="481"/>
      <c r="C68" s="363"/>
      <c r="D68" s="369" t="s">
        <v>75</v>
      </c>
      <c r="E68" s="474"/>
      <c r="F68" s="296">
        <f>E59*1000*40/1000000</f>
        <v>0.04</v>
      </c>
      <c r="G68" s="362" t="s">
        <v>130</v>
      </c>
      <c r="H68" s="270">
        <f>1400000/10</f>
        <v>140000</v>
      </c>
      <c r="I68" s="489">
        <f>H68*F68</f>
        <v>5600</v>
      </c>
      <c r="J68" s="489"/>
      <c r="K68" s="302"/>
      <c r="L68" s="366"/>
      <c r="M68" s="367"/>
      <c r="N68" s="367"/>
      <c r="O68" s="368"/>
    </row>
    <row r="69" spans="1:16" ht="18" hidden="1" customHeight="1">
      <c r="B69" s="481"/>
      <c r="C69" s="363"/>
      <c r="D69" s="369" t="s">
        <v>220</v>
      </c>
      <c r="E69" s="474"/>
      <c r="F69" s="296"/>
      <c r="G69" s="362" t="s">
        <v>130</v>
      </c>
      <c r="H69" s="270">
        <f>160000/20</f>
        <v>8000</v>
      </c>
      <c r="I69" s="489">
        <f>H69*F69</f>
        <v>0</v>
      </c>
      <c r="J69" s="489"/>
      <c r="K69" s="302"/>
      <c r="L69" s="490" t="s">
        <v>222</v>
      </c>
      <c r="M69" s="491"/>
      <c r="N69" s="491"/>
      <c r="O69" s="492"/>
    </row>
    <row r="70" spans="1:16" ht="18" hidden="1" customHeight="1">
      <c r="B70" s="481"/>
      <c r="C70" s="363"/>
      <c r="D70" s="369" t="s">
        <v>221</v>
      </c>
      <c r="E70" s="474"/>
      <c r="F70" s="296"/>
      <c r="G70" s="362" t="s">
        <v>140</v>
      </c>
      <c r="H70" s="270">
        <f>130000/20</f>
        <v>6500</v>
      </c>
      <c r="I70" s="489">
        <f>H70*F70</f>
        <v>0</v>
      </c>
      <c r="J70" s="489"/>
      <c r="K70" s="302"/>
      <c r="L70" s="493"/>
      <c r="M70" s="494"/>
      <c r="N70" s="494"/>
      <c r="O70" s="495"/>
    </row>
    <row r="71" spans="1:16" ht="18" customHeight="1">
      <c r="B71" s="481"/>
      <c r="C71" s="496" t="s">
        <v>60</v>
      </c>
      <c r="D71" s="369" t="s">
        <v>52</v>
      </c>
      <c r="E71" s="474"/>
      <c r="F71" s="296">
        <f>E59*1000*120/1000000*4</f>
        <v>0.48</v>
      </c>
      <c r="G71" s="362" t="s">
        <v>130</v>
      </c>
      <c r="H71" s="287">
        <f>324000/20</f>
        <v>16200</v>
      </c>
      <c r="I71" s="459">
        <f>F71*H71</f>
        <v>7776</v>
      </c>
      <c r="J71" s="459"/>
      <c r="K71" s="302"/>
      <c r="L71" s="366"/>
      <c r="M71" s="367"/>
      <c r="N71" s="367"/>
      <c r="O71" s="368"/>
    </row>
    <row r="72" spans="1:16" ht="18" customHeight="1" thickBot="1">
      <c r="B72" s="482"/>
      <c r="C72" s="496"/>
      <c r="D72" s="406" t="s">
        <v>80</v>
      </c>
      <c r="E72" s="475"/>
      <c r="F72" s="409">
        <f>E59*1000*40/1000000*4</f>
        <v>0.16</v>
      </c>
      <c r="G72" s="406" t="s">
        <v>130</v>
      </c>
      <c r="H72" s="287">
        <f>893000/20</f>
        <v>44650</v>
      </c>
      <c r="I72" s="497">
        <f>H72*F72</f>
        <v>7144</v>
      </c>
      <c r="J72" s="497"/>
      <c r="K72" s="370"/>
      <c r="L72" s="460" t="s">
        <v>274</v>
      </c>
      <c r="M72" s="461"/>
      <c r="N72" s="461"/>
      <c r="O72" s="462"/>
    </row>
    <row r="73" spans="1:16" ht="5.5" customHeight="1" thickBot="1">
      <c r="B73" s="256"/>
      <c r="C73" s="371"/>
      <c r="D73" s="289"/>
      <c r="F73" s="372"/>
      <c r="G73" s="373"/>
      <c r="H73" s="373"/>
      <c r="I73" s="354"/>
      <c r="J73" s="354"/>
      <c r="K73" s="302"/>
      <c r="L73" s="374"/>
      <c r="M73" s="374"/>
      <c r="N73" s="374"/>
      <c r="O73" s="375"/>
    </row>
    <row r="74" spans="1:16" ht="18" customHeight="1">
      <c r="B74" s="376" t="s">
        <v>119</v>
      </c>
      <c r="C74" s="377" t="s">
        <v>99</v>
      </c>
      <c r="D74" s="378" t="s">
        <v>100</v>
      </c>
      <c r="E74" s="379" t="s">
        <v>101</v>
      </c>
      <c r="F74" s="379" t="s">
        <v>102</v>
      </c>
      <c r="G74" s="380" t="s">
        <v>103</v>
      </c>
      <c r="H74" s="377" t="s">
        <v>104</v>
      </c>
      <c r="I74" s="452" t="s">
        <v>275</v>
      </c>
      <c r="J74" s="453"/>
      <c r="K74" s="381"/>
      <c r="L74" s="454" t="s">
        <v>105</v>
      </c>
      <c r="M74" s="455"/>
      <c r="N74" s="455"/>
      <c r="O74" s="382" t="s">
        <v>106</v>
      </c>
      <c r="P74" s="265"/>
    </row>
    <row r="75" spans="1:16" ht="18" customHeight="1">
      <c r="A75" s="245"/>
      <c r="B75" s="280" t="s">
        <v>46</v>
      </c>
      <c r="C75" s="281">
        <f>C6*1000*100/1000000</f>
        <v>3.7850000000000001</v>
      </c>
      <c r="D75" s="281">
        <f>(N7+C10)*1000*100/1000000</f>
        <v>6.2679599999999988E-2</v>
      </c>
      <c r="E75" s="281">
        <f>D75*L10</f>
        <v>1.5043103999999996</v>
      </c>
      <c r="F75" s="290">
        <f>E75*L11</f>
        <v>45.129311999999985</v>
      </c>
      <c r="G75" s="285">
        <f>F75*L12</f>
        <v>541.55174399999987</v>
      </c>
      <c r="H75" s="270">
        <f>257000/20</f>
        <v>12850</v>
      </c>
      <c r="I75" s="442">
        <f>H75*G75</f>
        <v>6958939.9103999985</v>
      </c>
      <c r="J75" s="443"/>
      <c r="K75" s="271"/>
      <c r="L75" s="426" t="s">
        <v>276</v>
      </c>
      <c r="M75" s="427"/>
      <c r="N75" s="427"/>
      <c r="O75" s="288">
        <f>360*D75/1.8</f>
        <v>12.535919999999997</v>
      </c>
      <c r="P75" s="273"/>
    </row>
    <row r="76" spans="1:16" ht="18" customHeight="1">
      <c r="A76" s="245"/>
      <c r="B76" s="280" t="s">
        <v>47</v>
      </c>
      <c r="C76" s="281">
        <f>C6*1000/700</f>
        <v>54.071428571428569</v>
      </c>
      <c r="D76" s="281">
        <f>(N7+C10)*1000/700</f>
        <v>0.89542285714285708</v>
      </c>
      <c r="E76" s="281">
        <f>D76*L10</f>
        <v>21.49014857142857</v>
      </c>
      <c r="F76" s="290">
        <f>E76*L11</f>
        <v>644.70445714285711</v>
      </c>
      <c r="G76" s="285">
        <f>F76*3</f>
        <v>1934.1133714285713</v>
      </c>
      <c r="H76" s="270">
        <f>257000/20</f>
        <v>12850</v>
      </c>
      <c r="I76" s="442">
        <f>(C76+G76)*H76</f>
        <v>25548174.68</v>
      </c>
      <c r="J76" s="443"/>
      <c r="K76" s="271"/>
      <c r="L76" s="426" t="s">
        <v>277</v>
      </c>
      <c r="M76" s="427"/>
      <c r="N76" s="427"/>
      <c r="O76" s="383">
        <f>360*D76/1.8</f>
        <v>179.08457142857142</v>
      </c>
      <c r="P76" s="273"/>
    </row>
    <row r="77" spans="1:16" ht="18" customHeight="1" thickBot="1">
      <c r="A77" s="245"/>
      <c r="B77" s="384" t="s">
        <v>48</v>
      </c>
      <c r="C77" s="385">
        <f>C6*1000/700*16/100</f>
        <v>8.6514285714285712</v>
      </c>
      <c r="D77" s="385">
        <f>(N7+C10)*1000/700*16/100</f>
        <v>0.14326765714285714</v>
      </c>
      <c r="E77" s="385">
        <f>D77*L10</f>
        <v>3.438423771428571</v>
      </c>
      <c r="F77" s="386">
        <f>E77*L11</f>
        <v>103.15271314285712</v>
      </c>
      <c r="G77" s="387">
        <f>F77*3</f>
        <v>309.45813942857137</v>
      </c>
      <c r="H77" s="270">
        <f>777000/20</f>
        <v>38850</v>
      </c>
      <c r="I77" s="467">
        <f>(C77+G77)*H77</f>
        <v>12358556.716799999</v>
      </c>
      <c r="J77" s="468"/>
      <c r="K77" s="388"/>
      <c r="L77" s="446" t="s">
        <v>277</v>
      </c>
      <c r="M77" s="447"/>
      <c r="N77" s="447"/>
      <c r="O77" s="389">
        <f>360*D77/1.8</f>
        <v>28.653531428571426</v>
      </c>
      <c r="P77" s="273"/>
    </row>
    <row r="79" spans="1:16" hidden="1">
      <c r="D79" s="215" t="s">
        <v>218</v>
      </c>
      <c r="F79" s="215">
        <f>F64/F62</f>
        <v>13.807803468208093</v>
      </c>
    </row>
  </sheetData>
  <mergeCells count="136">
    <mergeCell ref="T28:X28"/>
    <mergeCell ref="T29:X29"/>
    <mergeCell ref="T30:X30"/>
    <mergeCell ref="R33:S33"/>
    <mergeCell ref="R28:S28"/>
    <mergeCell ref="L37:N37"/>
    <mergeCell ref="I38:J38"/>
    <mergeCell ref="L33:N33"/>
    <mergeCell ref="L34:N34"/>
    <mergeCell ref="I29:J29"/>
    <mergeCell ref="I33:J34"/>
    <mergeCell ref="L28:N28"/>
    <mergeCell ref="L29:N29"/>
    <mergeCell ref="I32:J32"/>
    <mergeCell ref="L32:N32"/>
    <mergeCell ref="I36:J36"/>
    <mergeCell ref="L36:N36"/>
    <mergeCell ref="I35:J35"/>
    <mergeCell ref="L35:N35"/>
    <mergeCell ref="I31:J31"/>
    <mergeCell ref="L31:N31"/>
    <mergeCell ref="R31:S31"/>
    <mergeCell ref="R32:S32"/>
    <mergeCell ref="I37:J37"/>
    <mergeCell ref="I16:J16"/>
    <mergeCell ref="L16:N16"/>
    <mergeCell ref="I20:J20"/>
    <mergeCell ref="L20:N20"/>
    <mergeCell ref="I17:J17"/>
    <mergeCell ref="L17:N17"/>
    <mergeCell ref="I18:J18"/>
    <mergeCell ref="L18:N18"/>
    <mergeCell ref="I22:J22"/>
    <mergeCell ref="L22:N22"/>
    <mergeCell ref="I21:J21"/>
    <mergeCell ref="L21:N21"/>
    <mergeCell ref="I19:J19"/>
    <mergeCell ref="L19:N19"/>
    <mergeCell ref="B2:O2"/>
    <mergeCell ref="L4:M4"/>
    <mergeCell ref="L5:M5"/>
    <mergeCell ref="L6:M6"/>
    <mergeCell ref="L7:M7"/>
    <mergeCell ref="L9:M9"/>
    <mergeCell ref="I14:J14"/>
    <mergeCell ref="L14:N14"/>
    <mergeCell ref="I15:J15"/>
    <mergeCell ref="L15:N15"/>
    <mergeCell ref="B56:F56"/>
    <mergeCell ref="I56:J56"/>
    <mergeCell ref="L56:O56"/>
    <mergeCell ref="I49:J49"/>
    <mergeCell ref="I55:J55"/>
    <mergeCell ref="I41:J41"/>
    <mergeCell ref="L52:O52"/>
    <mergeCell ref="L53:O53"/>
    <mergeCell ref="L49:N49"/>
    <mergeCell ref="B55:F55"/>
    <mergeCell ref="I43:J43"/>
    <mergeCell ref="L43:O43"/>
    <mergeCell ref="I44:J44"/>
    <mergeCell ref="L44:O44"/>
    <mergeCell ref="L47:O47"/>
    <mergeCell ref="L42:O42"/>
    <mergeCell ref="I51:J51"/>
    <mergeCell ref="L51:N51"/>
    <mergeCell ref="E59:E72"/>
    <mergeCell ref="I59:J59"/>
    <mergeCell ref="I60:J60"/>
    <mergeCell ref="I64:J64"/>
    <mergeCell ref="I62:J62"/>
    <mergeCell ref="C59:C66"/>
    <mergeCell ref="I66:J66"/>
    <mergeCell ref="L66:O66"/>
    <mergeCell ref="B58:B72"/>
    <mergeCell ref="L58:O58"/>
    <mergeCell ref="L62:O62"/>
    <mergeCell ref="L59:O59"/>
    <mergeCell ref="L60:O60"/>
    <mergeCell ref="I70:J70"/>
    <mergeCell ref="I69:J69"/>
    <mergeCell ref="I68:J68"/>
    <mergeCell ref="I67:J67"/>
    <mergeCell ref="L69:O70"/>
    <mergeCell ref="C71:C72"/>
    <mergeCell ref="I72:J72"/>
    <mergeCell ref="I65:J65"/>
    <mergeCell ref="I63:J63"/>
    <mergeCell ref="L63:O63"/>
    <mergeCell ref="L65:O65"/>
    <mergeCell ref="L77:N77"/>
    <mergeCell ref="L55:O55"/>
    <mergeCell ref="I45:J45"/>
    <mergeCell ref="L48:N48"/>
    <mergeCell ref="L41:O41"/>
    <mergeCell ref="I75:J75"/>
    <mergeCell ref="L75:N75"/>
    <mergeCell ref="I74:J74"/>
    <mergeCell ref="L74:N74"/>
    <mergeCell ref="L64:O64"/>
    <mergeCell ref="I71:J71"/>
    <mergeCell ref="L72:O72"/>
    <mergeCell ref="I48:J48"/>
    <mergeCell ref="I52:J52"/>
    <mergeCell ref="I53:J53"/>
    <mergeCell ref="I58:J58"/>
    <mergeCell ref="I47:J47"/>
    <mergeCell ref="I76:J76"/>
    <mergeCell ref="L76:N76"/>
    <mergeCell ref="I77:J77"/>
    <mergeCell ref="I61:J61"/>
    <mergeCell ref="L61:O61"/>
    <mergeCell ref="Q30:R30"/>
    <mergeCell ref="I23:J23"/>
    <mergeCell ref="L23:N23"/>
    <mergeCell ref="L25:N25"/>
    <mergeCell ref="I50:J50"/>
    <mergeCell ref="I46:J46"/>
    <mergeCell ref="L46:N46"/>
    <mergeCell ref="L27:N27"/>
    <mergeCell ref="I26:J26"/>
    <mergeCell ref="L26:N26"/>
    <mergeCell ref="I39:J39"/>
    <mergeCell ref="L39:N39"/>
    <mergeCell ref="I42:J42"/>
    <mergeCell ref="L45:N45"/>
    <mergeCell ref="I28:J28"/>
    <mergeCell ref="I27:J27"/>
    <mergeCell ref="I24:J24"/>
    <mergeCell ref="L24:N24"/>
    <mergeCell ref="I25:J25"/>
    <mergeCell ref="I30:J30"/>
    <mergeCell ref="L30:N30"/>
    <mergeCell ref="I40:J40"/>
    <mergeCell ref="L40:N40"/>
    <mergeCell ref="L38:N38"/>
  </mergeCells>
  <phoneticPr fontId="2" type="noConversion"/>
  <printOptions horizontalCentered="1"/>
  <pageMargins left="0.59055118110236227" right="0.59055118110236227" top="0.78740157480314965" bottom="0.59055118110236227" header="0.31496062992125984" footer="0.31496062992125984"/>
  <pageSetup paperSize="9" scale="45" orientation="portrait" r:id="rId1"/>
  <headerFooter alignWithMargins="0"/>
  <ignoredErrors>
    <ignoredError sqref="C24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5FC2-2102-44C5-81FC-11256A1568A9}">
  <sheetPr>
    <pageSetUpPr fitToPage="1"/>
  </sheetPr>
  <dimension ref="A1:S66"/>
  <sheetViews>
    <sheetView showGridLines="0" topLeftCell="A8" zoomScale="75" zoomScaleNormal="75" workbookViewId="0">
      <selection activeCell="H15" sqref="H15"/>
    </sheetView>
  </sheetViews>
  <sheetFormatPr defaultColWidth="8.9140625" defaultRowHeight="15"/>
  <cols>
    <col min="1" max="1" width="1.4140625" style="2" customWidth="1"/>
    <col min="2" max="2" width="27" style="2" customWidth="1"/>
    <col min="3" max="3" width="9.4140625" style="2" customWidth="1"/>
    <col min="4" max="4" width="11.9140625" style="2" customWidth="1"/>
    <col min="5" max="5" width="10.1640625" style="2" customWidth="1"/>
    <col min="6" max="6" width="11.83203125" style="2" customWidth="1"/>
    <col min="7" max="7" width="10.1640625" style="2" customWidth="1"/>
    <col min="8" max="8" width="12.9140625" style="2" customWidth="1"/>
    <col min="9" max="9" width="7.4140625" style="2" customWidth="1"/>
    <col min="10" max="10" width="8" style="2" customWidth="1"/>
    <col min="11" max="11" width="0.6640625" style="2" customWidth="1"/>
    <col min="12" max="12" width="7.58203125" style="2" customWidth="1"/>
    <col min="13" max="13" width="8.08203125" style="2" customWidth="1"/>
    <col min="14" max="15" width="7.5" style="2" customWidth="1"/>
    <col min="16" max="16" width="27" style="62" bestFit="1" customWidth="1"/>
    <col min="17" max="17" width="9" style="2" bestFit="1" customWidth="1"/>
    <col min="18" max="18" width="10" style="2" bestFit="1" customWidth="1"/>
    <col min="19" max="16384" width="8.9140625" style="2"/>
  </cols>
  <sheetData>
    <row r="1" spans="2:18" ht="7.5" customHeight="1" thickBot="1"/>
    <row r="2" spans="2:18" ht="24.75" customHeight="1">
      <c r="B2" s="649" t="s">
        <v>212</v>
      </c>
      <c r="C2" s="650"/>
      <c r="D2" s="650"/>
      <c r="E2" s="650"/>
      <c r="F2" s="650"/>
      <c r="G2" s="650"/>
      <c r="H2" s="650"/>
      <c r="I2" s="650"/>
      <c r="J2" s="650"/>
      <c r="K2" s="650"/>
      <c r="L2" s="650"/>
      <c r="M2" s="650"/>
      <c r="N2" s="650"/>
      <c r="O2" s="651"/>
    </row>
    <row r="3" spans="2:18" ht="18" customHeight="1">
      <c r="B3" s="143" t="s">
        <v>0</v>
      </c>
      <c r="O3" s="144"/>
    </row>
    <row r="4" spans="2:18" ht="18" customHeight="1">
      <c r="B4" s="145" t="s">
        <v>1</v>
      </c>
      <c r="C4" s="135">
        <v>1000</v>
      </c>
      <c r="D4" s="2" t="s">
        <v>2</v>
      </c>
      <c r="E4" s="1" t="s">
        <v>3</v>
      </c>
      <c r="F4" s="1" t="s">
        <v>4</v>
      </c>
      <c r="G4" s="1" t="s">
        <v>5</v>
      </c>
      <c r="H4" s="4" t="s">
        <v>6</v>
      </c>
      <c r="I4" s="5" t="s">
        <v>7</v>
      </c>
      <c r="J4" s="39"/>
      <c r="L4" s="652" t="s">
        <v>8</v>
      </c>
      <c r="M4" s="653"/>
      <c r="N4" s="6">
        <f>G11/F11</f>
        <v>1.55</v>
      </c>
      <c r="O4" s="144"/>
      <c r="Q4" s="54"/>
    </row>
    <row r="5" spans="2:18" ht="18" customHeight="1">
      <c r="B5" s="145" t="s">
        <v>9</v>
      </c>
      <c r="C5" s="3">
        <v>0</v>
      </c>
      <c r="D5" s="2" t="s">
        <v>10</v>
      </c>
      <c r="E5" s="1" t="s">
        <v>11</v>
      </c>
      <c r="F5" s="7">
        <v>435</v>
      </c>
      <c r="G5" s="7">
        <v>537</v>
      </c>
      <c r="H5" s="8">
        <f>F5*N6</f>
        <v>3480</v>
      </c>
      <c r="I5" s="9"/>
      <c r="J5" s="40"/>
      <c r="L5" s="652" t="s">
        <v>12</v>
      </c>
      <c r="M5" s="653"/>
      <c r="N5" s="10">
        <f>C9/(N4-1)</f>
        <v>4.4770909090909088</v>
      </c>
      <c r="O5" s="144" t="s">
        <v>13</v>
      </c>
      <c r="P5" s="78" t="s">
        <v>110</v>
      </c>
      <c r="Q5" s="71">
        <f>(LOG(G5)-1)/10</f>
        <v>0.17299742856995554</v>
      </c>
    </row>
    <row r="6" spans="2:18" ht="18" customHeight="1">
      <c r="B6" s="145" t="s">
        <v>14</v>
      </c>
      <c r="C6" s="11">
        <f>C4*37.85/1000+C5</f>
        <v>37.85</v>
      </c>
      <c r="D6" s="2" t="s">
        <v>10</v>
      </c>
      <c r="E6" s="1" t="s">
        <v>15</v>
      </c>
      <c r="F6" s="7">
        <v>34</v>
      </c>
      <c r="G6" s="7">
        <v>46</v>
      </c>
      <c r="H6" s="8">
        <f>F6*N6</f>
        <v>272</v>
      </c>
      <c r="I6" s="9"/>
      <c r="J6" s="40"/>
      <c r="L6" s="654" t="s">
        <v>16</v>
      </c>
      <c r="M6" s="655"/>
      <c r="N6" s="12">
        <v>8</v>
      </c>
      <c r="O6" s="144"/>
      <c r="P6" s="78" t="s">
        <v>111</v>
      </c>
      <c r="Q6" s="71">
        <f>LOG(G6)-0.4</f>
        <v>1.262757831681574</v>
      </c>
    </row>
    <row r="7" spans="2:18" ht="18" customHeight="1">
      <c r="B7" s="145" t="s">
        <v>17</v>
      </c>
      <c r="C7" s="13">
        <f>C4*11.4*60/1000</f>
        <v>684</v>
      </c>
      <c r="D7" s="2" t="s">
        <v>13</v>
      </c>
      <c r="E7" s="1" t="s">
        <v>18</v>
      </c>
      <c r="F7" s="7">
        <v>70</v>
      </c>
      <c r="G7" s="7">
        <v>80</v>
      </c>
      <c r="H7" s="8">
        <f>F7*N6</f>
        <v>560</v>
      </c>
      <c r="I7" s="9"/>
      <c r="J7" s="40"/>
      <c r="L7" s="652" t="s">
        <v>19</v>
      </c>
      <c r="M7" s="653"/>
      <c r="N7" s="14">
        <f>C9/(N6-1)</f>
        <v>0.35177142857142857</v>
      </c>
      <c r="O7" s="144" t="s">
        <v>13</v>
      </c>
      <c r="P7" s="78" t="s">
        <v>112</v>
      </c>
      <c r="Q7" s="71">
        <f>LOG(G7)</f>
        <v>1.9030899869919435</v>
      </c>
    </row>
    <row r="8" spans="2:18" ht="18" customHeight="1">
      <c r="B8" s="145" t="s">
        <v>20</v>
      </c>
      <c r="C8" s="59">
        <v>2.5</v>
      </c>
      <c r="D8" s="142" t="s">
        <v>21</v>
      </c>
      <c r="E8" s="15" t="s">
        <v>22</v>
      </c>
      <c r="F8" s="16">
        <v>7.8</v>
      </c>
      <c r="G8" s="16">
        <v>7.97</v>
      </c>
      <c r="H8" s="43">
        <f>((LOG(H7*0.9*1.219)+2.19)/0.55)</f>
        <v>9.0516986219343742</v>
      </c>
      <c r="I8" s="5"/>
      <c r="J8" s="41"/>
      <c r="K8" s="18"/>
      <c r="L8" s="18"/>
      <c r="M8" s="18"/>
      <c r="N8" s="18"/>
      <c r="O8" s="146"/>
      <c r="P8" s="79"/>
      <c r="Q8" s="71">
        <f>G8</f>
        <v>7.97</v>
      </c>
    </row>
    <row r="9" spans="2:18" ht="18" customHeight="1">
      <c r="B9" s="147" t="s">
        <v>23</v>
      </c>
      <c r="C9" s="10">
        <f>0.0018*C8*C7*0.8</f>
        <v>2.4624000000000001</v>
      </c>
      <c r="D9" s="2" t="s">
        <v>13</v>
      </c>
      <c r="E9" s="1" t="s">
        <v>24</v>
      </c>
      <c r="F9" s="19">
        <v>10</v>
      </c>
      <c r="G9" s="19">
        <v>50</v>
      </c>
      <c r="H9" s="19">
        <v>50</v>
      </c>
      <c r="I9" s="5"/>
      <c r="J9" s="42"/>
      <c r="L9" s="656" t="s">
        <v>25</v>
      </c>
      <c r="M9" s="655"/>
      <c r="O9" s="144"/>
      <c r="P9" s="78" t="s">
        <v>113</v>
      </c>
      <c r="Q9" s="71">
        <f>-13.12*LOG(G9+273)+34.55</f>
        <v>1.6292629070159279</v>
      </c>
    </row>
    <row r="10" spans="2:18" ht="18" customHeight="1">
      <c r="B10" s="147" t="s">
        <v>78</v>
      </c>
      <c r="C10" s="10">
        <f>C7*0.0002</f>
        <v>0.1368</v>
      </c>
      <c r="D10" s="2" t="s">
        <v>13</v>
      </c>
      <c r="E10" s="4" t="s">
        <v>26</v>
      </c>
      <c r="F10" s="17">
        <f>F8-9.3-((LOG(F5)-1)/10)-(-13.12*LOG(F9+273)+34.55)+(LOG(F6)-0.4)+(LOG(F7))</f>
        <v>-1.0698339345602648</v>
      </c>
      <c r="G10" s="17">
        <f>G8-9.3-((LOG(G5)-1)/10)-(-13.12*LOG(G9+273)+34.55)+(LOG(G6)-0.4)+(LOG(G7))</f>
        <v>3.3587483087633041E-2</v>
      </c>
      <c r="H10" s="17">
        <f>H8-9.3-((LOG(H5)-1)/10)-(-13.12*LOG(H9+273)+34.55)+(LOG(H6)-0.4)+(LOG(H7))</f>
        <v>2.6510347215641867</v>
      </c>
      <c r="I10" s="9" t="s">
        <v>27</v>
      </c>
      <c r="J10" s="41"/>
      <c r="L10" s="36">
        <v>24</v>
      </c>
      <c r="M10" s="20" t="s">
        <v>28</v>
      </c>
      <c r="O10" s="144"/>
      <c r="P10" s="78" t="s">
        <v>114</v>
      </c>
      <c r="Q10" s="72">
        <f>Q8-9.3-Q5-Q9+Q6+Q7</f>
        <v>3.3587483087633041E-2</v>
      </c>
    </row>
    <row r="11" spans="2:18" ht="18" customHeight="1">
      <c r="B11" s="147" t="s">
        <v>29</v>
      </c>
      <c r="C11" s="14">
        <f>C10+C9+N7</f>
        <v>2.9509714285714286</v>
      </c>
      <c r="D11" s="2" t="s">
        <v>13</v>
      </c>
      <c r="E11" s="139" t="s">
        <v>30</v>
      </c>
      <c r="F11" s="7">
        <v>40</v>
      </c>
      <c r="G11" s="7">
        <v>62</v>
      </c>
      <c r="H11" s="8">
        <f>F11*N6</f>
        <v>320</v>
      </c>
      <c r="I11" s="9"/>
      <c r="J11" s="40"/>
      <c r="L11" s="36">
        <v>30</v>
      </c>
      <c r="M11" s="20" t="s">
        <v>31</v>
      </c>
      <c r="O11" s="148"/>
    </row>
    <row r="12" spans="2:18" ht="18" customHeight="1">
      <c r="B12" s="147" t="s">
        <v>32</v>
      </c>
      <c r="C12" s="21">
        <f>0.7*(C6+C5)/N7/24</f>
        <v>3.1382831113277021</v>
      </c>
      <c r="D12" s="2" t="s">
        <v>33</v>
      </c>
      <c r="E12" s="1" t="s">
        <v>34</v>
      </c>
      <c r="F12" s="7">
        <v>0</v>
      </c>
      <c r="G12" s="7">
        <v>0</v>
      </c>
      <c r="H12" s="8">
        <f>F12*N6</f>
        <v>0</v>
      </c>
      <c r="I12" s="9" t="s">
        <v>35</v>
      </c>
      <c r="J12" s="40"/>
      <c r="L12" s="36">
        <v>12</v>
      </c>
      <c r="M12" s="20" t="s">
        <v>36</v>
      </c>
      <c r="O12" s="144"/>
    </row>
    <row r="13" spans="2:18" ht="6.75" customHeight="1">
      <c r="B13" s="149"/>
      <c r="C13" s="22"/>
      <c r="O13" s="144"/>
    </row>
    <row r="14" spans="2:18" ht="18" customHeight="1">
      <c r="B14" s="150" t="s">
        <v>37</v>
      </c>
      <c r="C14" s="70" t="s">
        <v>79</v>
      </c>
      <c r="D14" s="138" t="s">
        <v>38</v>
      </c>
      <c r="E14" s="23" t="s">
        <v>39</v>
      </c>
      <c r="F14" s="23" t="s">
        <v>40</v>
      </c>
      <c r="G14" s="24" t="s">
        <v>41</v>
      </c>
      <c r="H14" s="69" t="s">
        <v>42</v>
      </c>
      <c r="I14" s="618" t="s">
        <v>43</v>
      </c>
      <c r="J14" s="614"/>
      <c r="K14" s="37"/>
      <c r="L14" s="619" t="s">
        <v>44</v>
      </c>
      <c r="M14" s="620"/>
      <c r="N14" s="620"/>
      <c r="O14" s="151" t="s">
        <v>66</v>
      </c>
      <c r="P14" s="140"/>
      <c r="Q14" s="90"/>
      <c r="R14" s="91"/>
    </row>
    <row r="15" spans="2:18" ht="18" customHeight="1">
      <c r="B15" s="147" t="s">
        <v>161</v>
      </c>
      <c r="C15" s="25">
        <f>C6*1000*100/1000000</f>
        <v>3.7850000000000001</v>
      </c>
      <c r="D15" s="25">
        <f>(N7+C10)*1000*100/1000000</f>
        <v>4.8857142857142856E-2</v>
      </c>
      <c r="E15" s="25">
        <f>D15*L10</f>
        <v>1.1725714285714286</v>
      </c>
      <c r="F15" s="26">
        <f>E15*L11</f>
        <v>35.177142857142854</v>
      </c>
      <c r="G15" s="27">
        <f>F15*L12</f>
        <v>422.12571428571425</v>
      </c>
      <c r="H15" s="199">
        <v>16200</v>
      </c>
      <c r="I15" s="558">
        <f t="shared" ref="I15:I20" si="0">H15*G15</f>
        <v>6838436.5714285709</v>
      </c>
      <c r="J15" s="559"/>
      <c r="K15" s="57"/>
      <c r="L15" s="552" t="s">
        <v>138</v>
      </c>
      <c r="M15" s="553"/>
      <c r="N15" s="553"/>
      <c r="O15" s="152">
        <f t="shared" ref="O15:O20" si="1">360*D15/1.8</f>
        <v>9.7714285714285705</v>
      </c>
      <c r="P15" s="60"/>
      <c r="Q15" s="90"/>
      <c r="R15" s="92"/>
    </row>
    <row r="16" spans="2:18" ht="18" customHeight="1">
      <c r="B16" s="153" t="s">
        <v>160</v>
      </c>
      <c r="C16" s="101">
        <f>C6*1000*150/1000000</f>
        <v>5.6775000000000002</v>
      </c>
      <c r="D16" s="101">
        <f>(N7+C10)*1000*150/1000000</f>
        <v>7.3285714285714287E-2</v>
      </c>
      <c r="E16" s="101">
        <f>D16*L10</f>
        <v>1.7588571428571429</v>
      </c>
      <c r="F16" s="102">
        <f>E16*L11</f>
        <v>52.765714285714289</v>
      </c>
      <c r="G16" s="103">
        <f>F16*L12</f>
        <v>633.18857142857144</v>
      </c>
      <c r="H16" s="199">
        <v>16200</v>
      </c>
      <c r="I16" s="645">
        <f>H16*G16</f>
        <v>10257654.857142856</v>
      </c>
      <c r="J16" s="646"/>
      <c r="K16" s="57"/>
      <c r="L16" s="552" t="s">
        <v>138</v>
      </c>
      <c r="M16" s="553"/>
      <c r="N16" s="553"/>
      <c r="O16" s="152">
        <f t="shared" si="1"/>
        <v>14.657142857142858</v>
      </c>
      <c r="P16" s="60"/>
      <c r="R16" s="92"/>
    </row>
    <row r="17" spans="1:19" ht="18" customHeight="1">
      <c r="B17" s="154" t="s">
        <v>74</v>
      </c>
      <c r="C17" s="64">
        <f>C6*1000*10/1000000</f>
        <v>0.3785</v>
      </c>
      <c r="D17" s="68">
        <f>(N7+C10)*1000*10/1000000</f>
        <v>4.8857142857142849E-3</v>
      </c>
      <c r="E17" s="65">
        <f>D17*L10</f>
        <v>0.11725714285714284</v>
      </c>
      <c r="F17" s="66">
        <f>E17*L11</f>
        <v>3.5177142857142849</v>
      </c>
      <c r="G17" s="67">
        <f>F17*L12</f>
        <v>42.212571428571422</v>
      </c>
      <c r="H17" s="201">
        <v>33000</v>
      </c>
      <c r="I17" s="550">
        <f t="shared" si="0"/>
        <v>1393014.857142857</v>
      </c>
      <c r="J17" s="551"/>
      <c r="K17" s="57"/>
      <c r="L17" s="552" t="s">
        <v>138</v>
      </c>
      <c r="M17" s="553"/>
      <c r="N17" s="553"/>
      <c r="O17" s="155">
        <f t="shared" si="1"/>
        <v>0.97714285714285687</v>
      </c>
      <c r="P17" s="60"/>
      <c r="Q17" s="90"/>
      <c r="R17" s="91"/>
    </row>
    <row r="18" spans="1:19" ht="18" customHeight="1">
      <c r="B18" s="154" t="s">
        <v>75</v>
      </c>
      <c r="C18" s="64">
        <f>C6*1000*5/1000000</f>
        <v>0.18925</v>
      </c>
      <c r="D18" s="68">
        <f>(N7+C10)*1000*5/1000000</f>
        <v>2.4428571428571424E-3</v>
      </c>
      <c r="E18" s="65">
        <f>D18*L10</f>
        <v>5.8628571428571419E-2</v>
      </c>
      <c r="F18" s="66">
        <f>E18*L11</f>
        <v>1.7588571428571425</v>
      </c>
      <c r="G18" s="67">
        <f>F18*L12</f>
        <v>21.106285714285711</v>
      </c>
      <c r="H18" s="200">
        <v>110000</v>
      </c>
      <c r="I18" s="550">
        <f t="shared" si="0"/>
        <v>2321691.4285714282</v>
      </c>
      <c r="J18" s="551"/>
      <c r="K18" s="57"/>
      <c r="L18" s="552" t="s">
        <v>138</v>
      </c>
      <c r="M18" s="553"/>
      <c r="N18" s="553"/>
      <c r="O18" s="155">
        <f t="shared" si="1"/>
        <v>0.48857142857142843</v>
      </c>
      <c r="P18" s="60"/>
    </row>
    <row r="19" spans="1:19" ht="18" customHeight="1">
      <c r="A19" s="18"/>
      <c r="B19" s="154" t="s">
        <v>76</v>
      </c>
      <c r="C19" s="64">
        <f>C6*1000*8/1000000</f>
        <v>0.30280000000000001</v>
      </c>
      <c r="D19" s="68">
        <f>(N7+C10)*1000*8/1000000</f>
        <v>3.9085714285714288E-3</v>
      </c>
      <c r="E19" s="65">
        <f>D19*L10</f>
        <v>9.3805714285714298E-2</v>
      </c>
      <c r="F19" s="66">
        <f>E19*L11</f>
        <v>2.814171428571429</v>
      </c>
      <c r="G19" s="67">
        <f>F19*L12</f>
        <v>33.770057142857148</v>
      </c>
      <c r="H19" s="200">
        <v>53000</v>
      </c>
      <c r="I19" s="550">
        <f t="shared" si="0"/>
        <v>1789813.0285714287</v>
      </c>
      <c r="J19" s="551"/>
      <c r="K19" s="57"/>
      <c r="L19" s="552" t="s">
        <v>138</v>
      </c>
      <c r="M19" s="553"/>
      <c r="N19" s="553"/>
      <c r="O19" s="155">
        <f t="shared" si="1"/>
        <v>0.78171428571428569</v>
      </c>
      <c r="P19" s="60"/>
    </row>
    <row r="20" spans="1:19" ht="18" customHeight="1">
      <c r="B20" s="147" t="s">
        <v>45</v>
      </c>
      <c r="C20" s="25">
        <f>C6*1000*400/1000000</f>
        <v>15.14</v>
      </c>
      <c r="D20" s="25">
        <f>(N7+C10)*1000*400/1000000</f>
        <v>0.19542857142857142</v>
      </c>
      <c r="E20" s="25">
        <f>D20*L10</f>
        <v>4.6902857142857144</v>
      </c>
      <c r="F20" s="26">
        <f>E20*L11</f>
        <v>140.70857142857142</v>
      </c>
      <c r="G20" s="27">
        <f>F20*L12</f>
        <v>1688.502857142857</v>
      </c>
      <c r="H20" s="200">
        <v>9700</v>
      </c>
      <c r="I20" s="558">
        <f t="shared" si="0"/>
        <v>16378477.714285713</v>
      </c>
      <c r="J20" s="559"/>
      <c r="K20" s="57"/>
      <c r="L20" s="552"/>
      <c r="M20" s="553"/>
      <c r="N20" s="553"/>
      <c r="O20" s="156">
        <f t="shared" si="1"/>
        <v>39.085714285714282</v>
      </c>
      <c r="P20" s="60"/>
      <c r="Q20" s="32"/>
    </row>
    <row r="21" spans="1:19" ht="18" customHeight="1">
      <c r="B21" s="154" t="s">
        <v>135</v>
      </c>
      <c r="C21" s="64">
        <f>C6*1000*28/1000000</f>
        <v>1.0598000000000001</v>
      </c>
      <c r="D21" s="64">
        <f>(N7+C10)*1000*28/1000000</f>
        <v>1.3679999999999999E-2</v>
      </c>
      <c r="E21" s="64">
        <f>D21*L10</f>
        <v>0.32832</v>
      </c>
      <c r="F21" s="75">
        <f>E21*L11</f>
        <v>9.8496000000000006</v>
      </c>
      <c r="G21" s="67">
        <f>F21*L12</f>
        <v>118.1952</v>
      </c>
      <c r="H21" s="200">
        <v>17600</v>
      </c>
      <c r="I21" s="550">
        <f>H21*G21</f>
        <v>2080235.52</v>
      </c>
      <c r="J21" s="551"/>
      <c r="K21" s="57"/>
      <c r="L21" s="552" t="s">
        <v>134</v>
      </c>
      <c r="M21" s="553"/>
      <c r="N21" s="553"/>
      <c r="O21" s="156">
        <f>360*D21/0.12/1.8</f>
        <v>22.8</v>
      </c>
      <c r="P21" s="60"/>
      <c r="Q21" s="32"/>
    </row>
    <row r="22" spans="1:19" ht="18" customHeight="1">
      <c r="B22" s="154" t="s">
        <v>139</v>
      </c>
      <c r="C22" s="64">
        <f>C6*1000*200/1000000</f>
        <v>7.57</v>
      </c>
      <c r="D22" s="64">
        <f>(N7+C10)*1000*200/1000000</f>
        <v>9.7714285714285712E-2</v>
      </c>
      <c r="E22" s="65">
        <f>D22*L10</f>
        <v>2.3451428571428572</v>
      </c>
      <c r="F22" s="66">
        <f>E22*L11</f>
        <v>70.354285714285709</v>
      </c>
      <c r="G22" s="67">
        <f>F22*L12</f>
        <v>844.25142857142851</v>
      </c>
      <c r="H22" s="200">
        <v>18000</v>
      </c>
      <c r="I22" s="550">
        <f>H22*G22</f>
        <v>15196525.714285713</v>
      </c>
      <c r="J22" s="551"/>
      <c r="K22" s="57"/>
      <c r="L22" s="552"/>
      <c r="M22" s="553"/>
      <c r="N22" s="553"/>
      <c r="O22" s="156">
        <f>360*D22/1.8</f>
        <v>19.542857142857141</v>
      </c>
      <c r="P22" s="60"/>
      <c r="Q22" s="32"/>
    </row>
    <row r="23" spans="1:19" ht="18" customHeight="1">
      <c r="B23" s="147" t="s">
        <v>137</v>
      </c>
      <c r="C23" s="25">
        <f>C6*1000*185/1000000</f>
        <v>7.0022500000000001</v>
      </c>
      <c r="D23" s="25">
        <f>N7*1000*185/1000000</f>
        <v>6.507771428571428E-2</v>
      </c>
      <c r="E23" s="25">
        <f>D23*L10</f>
        <v>1.5618651428571426</v>
      </c>
      <c r="F23" s="26">
        <f>E23*L11</f>
        <v>46.855954285714276</v>
      </c>
      <c r="G23" s="27">
        <f>F23*L12</f>
        <v>562.27145142857125</v>
      </c>
      <c r="H23" s="199">
        <v>5000</v>
      </c>
      <c r="I23" s="647">
        <f>H23*G23</f>
        <v>2811357.2571428563</v>
      </c>
      <c r="J23" s="648"/>
      <c r="K23" s="57"/>
      <c r="L23" s="552"/>
      <c r="M23" s="553"/>
      <c r="N23" s="553"/>
      <c r="O23" s="157">
        <f>360*D23/1.8</f>
        <v>13.015542857142856</v>
      </c>
      <c r="P23" s="60"/>
      <c r="Q23" s="32"/>
    </row>
    <row r="24" spans="1:19" ht="18" customHeight="1">
      <c r="A24" s="18"/>
      <c r="B24" s="150" t="s">
        <v>49</v>
      </c>
      <c r="C24" s="70" t="s">
        <v>88</v>
      </c>
      <c r="D24" s="70" t="s">
        <v>87</v>
      </c>
      <c r="E24" s="28" t="s">
        <v>50</v>
      </c>
      <c r="F24" s="23" t="s">
        <v>40</v>
      </c>
      <c r="G24" s="24" t="s">
        <v>41</v>
      </c>
      <c r="H24" s="69" t="s">
        <v>42</v>
      </c>
      <c r="I24" s="618" t="s">
        <v>43</v>
      </c>
      <c r="J24" s="614"/>
      <c r="K24" s="37"/>
      <c r="L24" s="619" t="s">
        <v>44</v>
      </c>
      <c r="M24" s="620"/>
      <c r="N24" s="620"/>
      <c r="O24" s="151" t="s">
        <v>51</v>
      </c>
      <c r="P24" s="141"/>
    </row>
    <row r="25" spans="1:19" ht="18" customHeight="1">
      <c r="B25" s="147" t="s">
        <v>116</v>
      </c>
      <c r="C25" s="10">
        <f>C6*1000*100/1000000</f>
        <v>3.7850000000000001</v>
      </c>
      <c r="D25" s="131">
        <v>3.5</v>
      </c>
      <c r="E25" s="10">
        <f t="shared" ref="E25:E33" si="2">C25*7/D25</f>
        <v>7.57</v>
      </c>
      <c r="F25" s="10">
        <f t="shared" ref="F25:F32" si="3">E25*30/7</f>
        <v>32.442857142857143</v>
      </c>
      <c r="G25" s="55">
        <f>F25*L12</f>
        <v>389.31428571428569</v>
      </c>
      <c r="H25" s="200">
        <v>28000</v>
      </c>
      <c r="I25" s="558">
        <f t="shared" ref="I25:I29" si="4">G25*H25</f>
        <v>10900800</v>
      </c>
      <c r="J25" s="559"/>
      <c r="K25" s="57"/>
      <c r="L25" s="560" t="s">
        <v>96</v>
      </c>
      <c r="M25" s="561"/>
      <c r="N25" s="561"/>
      <c r="O25" s="158">
        <f>60*C25/1.8</f>
        <v>126.16666666666667</v>
      </c>
      <c r="P25" s="61"/>
      <c r="Q25" s="644"/>
      <c r="R25" s="644"/>
      <c r="S25" s="644"/>
    </row>
    <row r="26" spans="1:19" ht="18" customHeight="1">
      <c r="B26" s="154" t="s">
        <v>52</v>
      </c>
      <c r="C26" s="56">
        <f>C6*1000*100/1000000</f>
        <v>3.7850000000000001</v>
      </c>
      <c r="D26" s="131">
        <v>3.5</v>
      </c>
      <c r="E26" s="56">
        <f>C26*7/D26</f>
        <v>7.57</v>
      </c>
      <c r="F26" s="56">
        <f>E26*30/7</f>
        <v>32.442857142857143</v>
      </c>
      <c r="G26" s="58">
        <f>F26*L12</f>
        <v>389.31428571428569</v>
      </c>
      <c r="H26" s="200">
        <v>15400</v>
      </c>
      <c r="I26" s="550">
        <f>G26*H26</f>
        <v>5995440</v>
      </c>
      <c r="J26" s="551"/>
      <c r="K26" s="80"/>
      <c r="L26" s="560" t="s">
        <v>118</v>
      </c>
      <c r="M26" s="561"/>
      <c r="N26" s="561"/>
      <c r="O26" s="158">
        <f>60*C26/1.8</f>
        <v>126.16666666666667</v>
      </c>
      <c r="P26" s="61"/>
    </row>
    <row r="27" spans="1:19" ht="18" customHeight="1">
      <c r="B27" s="154" t="s">
        <v>81</v>
      </c>
      <c r="C27" s="56">
        <f>C6*1000*150/1000000</f>
        <v>5.6775000000000002</v>
      </c>
      <c r="D27" s="131">
        <v>3.5</v>
      </c>
      <c r="E27" s="56">
        <f t="shared" si="2"/>
        <v>11.355</v>
      </c>
      <c r="F27" s="56">
        <f t="shared" si="3"/>
        <v>48.664285714285718</v>
      </c>
      <c r="G27" s="58">
        <f>F27*L12</f>
        <v>583.97142857142865</v>
      </c>
      <c r="H27" s="199">
        <v>36000</v>
      </c>
      <c r="I27" s="550">
        <f t="shared" si="4"/>
        <v>21022971.428571433</v>
      </c>
      <c r="J27" s="551"/>
      <c r="K27" s="57"/>
      <c r="L27" s="560" t="s">
        <v>95</v>
      </c>
      <c r="M27" s="561"/>
      <c r="N27" s="561"/>
      <c r="O27" s="158">
        <f t="shared" ref="O27:O33" si="5">60*C27/1.8</f>
        <v>189.25000000000003</v>
      </c>
      <c r="P27" s="61"/>
    </row>
    <row r="28" spans="1:19" ht="18" customHeight="1">
      <c r="B28" s="147" t="s">
        <v>80</v>
      </c>
      <c r="C28" s="10">
        <f>C6*1000*40/1000000</f>
        <v>1.514</v>
      </c>
      <c r="D28" s="131">
        <v>3.5</v>
      </c>
      <c r="E28" s="10">
        <f t="shared" si="2"/>
        <v>3.028</v>
      </c>
      <c r="F28" s="10">
        <f t="shared" si="3"/>
        <v>12.977142857142857</v>
      </c>
      <c r="G28" s="55">
        <f>F28*L12</f>
        <v>155.72571428571428</v>
      </c>
      <c r="H28" s="200">
        <v>39000</v>
      </c>
      <c r="I28" s="558">
        <f t="shared" si="4"/>
        <v>6073302.8571428563</v>
      </c>
      <c r="J28" s="559"/>
      <c r="K28" s="38"/>
      <c r="L28" s="560" t="s">
        <v>96</v>
      </c>
      <c r="M28" s="561"/>
      <c r="N28" s="561"/>
      <c r="O28" s="158">
        <f t="shared" si="5"/>
        <v>50.466666666666669</v>
      </c>
      <c r="P28" s="61"/>
    </row>
    <row r="29" spans="1:19" ht="18" customHeight="1">
      <c r="B29" s="154" t="s">
        <v>73</v>
      </c>
      <c r="C29" s="56">
        <f>C6*1000*50/1000000</f>
        <v>1.8925000000000001</v>
      </c>
      <c r="D29" s="132">
        <v>14</v>
      </c>
      <c r="E29" s="56">
        <f t="shared" si="2"/>
        <v>0.94625000000000004</v>
      </c>
      <c r="F29" s="56">
        <f t="shared" si="3"/>
        <v>4.0553571428571429</v>
      </c>
      <c r="G29" s="58">
        <f>F29*L12</f>
        <v>48.664285714285711</v>
      </c>
      <c r="H29" s="200">
        <v>38600</v>
      </c>
      <c r="I29" s="550">
        <f t="shared" si="4"/>
        <v>1878441.4285714284</v>
      </c>
      <c r="J29" s="551"/>
      <c r="K29" s="57"/>
      <c r="L29" s="560" t="s">
        <v>84</v>
      </c>
      <c r="M29" s="561"/>
      <c r="N29" s="561"/>
      <c r="O29" s="158"/>
      <c r="P29" s="61"/>
    </row>
    <row r="30" spans="1:19" ht="18" customHeight="1">
      <c r="B30" s="154" t="s">
        <v>53</v>
      </c>
      <c r="C30" s="56">
        <f>C6*1000*63/1000000</f>
        <v>2.3845499999999999</v>
      </c>
      <c r="D30" s="133">
        <v>3.5</v>
      </c>
      <c r="E30" s="56">
        <f t="shared" si="2"/>
        <v>4.7690999999999999</v>
      </c>
      <c r="F30" s="56">
        <f t="shared" si="3"/>
        <v>20.439</v>
      </c>
      <c r="G30" s="58">
        <f>F30*L12</f>
        <v>245.268</v>
      </c>
      <c r="H30" s="199">
        <v>7900</v>
      </c>
      <c r="I30" s="640">
        <f>(G30*H30)+(G31*H31)</f>
        <v>2954895.4285714286</v>
      </c>
      <c r="J30" s="641"/>
      <c r="K30" s="57"/>
      <c r="L30" s="560"/>
      <c r="M30" s="561"/>
      <c r="N30" s="561"/>
      <c r="O30" s="158">
        <f t="shared" si="5"/>
        <v>79.484999999999999</v>
      </c>
      <c r="P30" s="61"/>
    </row>
    <row r="31" spans="1:19" ht="18" customHeight="1">
      <c r="B31" s="154" t="s">
        <v>54</v>
      </c>
      <c r="C31" s="56">
        <f>C6*1000*13/1000000</f>
        <v>0.49204999999999999</v>
      </c>
      <c r="D31" s="134">
        <v>3.5</v>
      </c>
      <c r="E31" s="56">
        <f t="shared" si="2"/>
        <v>0.98409999999999997</v>
      </c>
      <c r="F31" s="56">
        <f t="shared" si="3"/>
        <v>4.2175714285714285</v>
      </c>
      <c r="G31" s="58">
        <f>F31*L12</f>
        <v>50.610857142857142</v>
      </c>
      <c r="H31" s="212">
        <v>20100</v>
      </c>
      <c r="I31" s="642"/>
      <c r="J31" s="643"/>
      <c r="K31" s="57"/>
      <c r="L31" s="560"/>
      <c r="M31" s="561"/>
      <c r="N31" s="561"/>
      <c r="O31" s="158">
        <f t="shared" si="5"/>
        <v>16.401666666666667</v>
      </c>
      <c r="P31" s="61"/>
    </row>
    <row r="32" spans="1:19" ht="18" customHeight="1">
      <c r="B32" s="154" t="s">
        <v>72</v>
      </c>
      <c r="C32" s="56">
        <f>C6*1000*100/1000000</f>
        <v>3.7850000000000001</v>
      </c>
      <c r="D32" s="134">
        <v>3.5</v>
      </c>
      <c r="E32" s="56">
        <f t="shared" si="2"/>
        <v>7.57</v>
      </c>
      <c r="F32" s="56">
        <f t="shared" si="3"/>
        <v>32.442857142857143</v>
      </c>
      <c r="G32" s="58">
        <f>F32*L12</f>
        <v>389.31428571428569</v>
      </c>
      <c r="H32" s="200">
        <v>20000</v>
      </c>
      <c r="I32" s="550">
        <f>G32*H32</f>
        <v>7786285.7142857136</v>
      </c>
      <c r="J32" s="551"/>
      <c r="K32" s="57"/>
      <c r="L32" s="560" t="s">
        <v>97</v>
      </c>
      <c r="M32" s="561"/>
      <c r="N32" s="561"/>
      <c r="O32" s="158">
        <f t="shared" si="5"/>
        <v>126.16666666666667</v>
      </c>
      <c r="P32" s="61"/>
    </row>
    <row r="33" spans="1:17" ht="18" customHeight="1">
      <c r="B33" s="147" t="s">
        <v>142</v>
      </c>
      <c r="C33" s="10">
        <f>C6*1000*40/1000000</f>
        <v>1.514</v>
      </c>
      <c r="D33" s="133">
        <v>3.5</v>
      </c>
      <c r="E33" s="10">
        <f t="shared" si="2"/>
        <v>3.028</v>
      </c>
      <c r="F33" s="10">
        <f>E33*30/7</f>
        <v>12.977142857142857</v>
      </c>
      <c r="G33" s="55">
        <f>F33*L12</f>
        <v>155.72571428571428</v>
      </c>
      <c r="H33" s="200">
        <v>23400</v>
      </c>
      <c r="I33" s="558">
        <f>H33*G33</f>
        <v>3643981.7142857141</v>
      </c>
      <c r="J33" s="559"/>
      <c r="K33" s="38"/>
      <c r="L33" s="637"/>
      <c r="M33" s="638"/>
      <c r="N33" s="638"/>
      <c r="O33" s="159">
        <f t="shared" si="5"/>
        <v>50.466666666666669</v>
      </c>
      <c r="P33" s="61"/>
    </row>
    <row r="34" spans="1:17" ht="18" customHeight="1">
      <c r="A34" s="18"/>
      <c r="B34" s="150" t="s">
        <v>143</v>
      </c>
      <c r="C34" s="70" t="s">
        <v>144</v>
      </c>
      <c r="D34" s="138" t="s">
        <v>38</v>
      </c>
      <c r="E34" s="23" t="s">
        <v>39</v>
      </c>
      <c r="F34" s="23" t="s">
        <v>40</v>
      </c>
      <c r="G34" s="24" t="s">
        <v>41</v>
      </c>
      <c r="H34" s="69" t="s">
        <v>42</v>
      </c>
      <c r="I34" s="618" t="s">
        <v>43</v>
      </c>
      <c r="J34" s="614"/>
      <c r="K34" s="37"/>
      <c r="L34" s="619" t="s">
        <v>44</v>
      </c>
      <c r="M34" s="620"/>
      <c r="N34" s="620"/>
      <c r="O34" s="151" t="s">
        <v>51</v>
      </c>
      <c r="P34" s="141"/>
    </row>
    <row r="35" spans="1:17" ht="18" customHeight="1">
      <c r="B35" s="147" t="s">
        <v>53</v>
      </c>
      <c r="C35" s="10">
        <v>0.2</v>
      </c>
      <c r="D35" s="94">
        <f>(C35/1000000*C7*1000)*(50/100)*(100/12)</f>
        <v>0.57000000000000006</v>
      </c>
      <c r="E35" s="6">
        <f>D35*L10</f>
        <v>13.680000000000001</v>
      </c>
      <c r="F35" s="95">
        <f>E35*L11</f>
        <v>410.40000000000003</v>
      </c>
      <c r="G35" s="96">
        <f>F35*L12</f>
        <v>4924.8</v>
      </c>
      <c r="H35" s="199">
        <v>7900</v>
      </c>
      <c r="I35" s="558">
        <f>H35*G35</f>
        <v>38905920</v>
      </c>
      <c r="J35" s="559"/>
      <c r="K35" s="38"/>
      <c r="L35" s="637"/>
      <c r="M35" s="638"/>
      <c r="N35" s="638"/>
      <c r="O35" s="152">
        <f>360*D35/1.8</f>
        <v>114</v>
      </c>
      <c r="P35" s="61"/>
    </row>
    <row r="36" spans="1:17" ht="18" customHeight="1">
      <c r="B36" s="147" t="s">
        <v>142</v>
      </c>
      <c r="C36" s="97" t="s">
        <v>153</v>
      </c>
      <c r="D36" s="94">
        <f>N7*1000*24/1000000</f>
        <v>8.4425142857142855E-3</v>
      </c>
      <c r="E36" s="6">
        <f>D36*L10</f>
        <v>0.20262034285714287</v>
      </c>
      <c r="F36" s="95">
        <f>E36*L11</f>
        <v>6.0786102857142863</v>
      </c>
      <c r="G36" s="96">
        <f>F36*L12</f>
        <v>72.943323428571432</v>
      </c>
      <c r="H36" s="200">
        <v>23400</v>
      </c>
      <c r="I36" s="558">
        <f>H36*G36</f>
        <v>1706873.7682285714</v>
      </c>
      <c r="J36" s="559"/>
      <c r="K36" s="38"/>
      <c r="L36" s="637"/>
      <c r="M36" s="638"/>
      <c r="N36" s="638"/>
      <c r="O36" s="152">
        <f>360*D36/1.8</f>
        <v>1.6885028571428571</v>
      </c>
      <c r="P36" s="61"/>
    </row>
    <row r="37" spans="1:17" ht="18" customHeight="1">
      <c r="B37" s="150" t="s">
        <v>85</v>
      </c>
      <c r="C37" s="70" t="s">
        <v>88</v>
      </c>
      <c r="D37" s="70" t="s">
        <v>87</v>
      </c>
      <c r="E37" s="23"/>
      <c r="F37" s="23"/>
      <c r="G37" s="70" t="s">
        <v>90</v>
      </c>
      <c r="H37" s="69" t="s">
        <v>91</v>
      </c>
      <c r="I37" s="618" t="s">
        <v>92</v>
      </c>
      <c r="J37" s="614"/>
      <c r="K37" s="37"/>
      <c r="L37" s="619" t="s">
        <v>44</v>
      </c>
      <c r="M37" s="620"/>
      <c r="N37" s="620"/>
      <c r="O37" s="151"/>
      <c r="P37" s="140"/>
    </row>
    <row r="38" spans="1:17" ht="18" customHeight="1">
      <c r="A38" s="18"/>
      <c r="B38" s="147" t="s">
        <v>86</v>
      </c>
      <c r="C38" s="10">
        <f>C6*1000*50/1000000</f>
        <v>1.8925000000000001</v>
      </c>
      <c r="D38" s="99">
        <v>180</v>
      </c>
      <c r="E38" s="10"/>
      <c r="F38" s="10"/>
      <c r="G38" s="55">
        <f>C38*7/D38*L11/7*L12</f>
        <v>3.7850000000000001</v>
      </c>
      <c r="H38" s="199">
        <v>27500</v>
      </c>
      <c r="I38" s="558">
        <f>(C38+G38)*H38</f>
        <v>156131.25</v>
      </c>
      <c r="J38" s="559"/>
      <c r="K38" s="38"/>
      <c r="L38" s="552"/>
      <c r="M38" s="553"/>
      <c r="N38" s="553"/>
      <c r="O38" s="639"/>
      <c r="P38" s="60"/>
    </row>
    <row r="39" spans="1:17" ht="18" hidden="1" customHeight="1">
      <c r="A39" s="18"/>
      <c r="B39" s="160" t="s">
        <v>155</v>
      </c>
      <c r="C39" s="76">
        <f>C6*1000*1650/1000000</f>
        <v>62.452500000000001</v>
      </c>
      <c r="D39" s="99">
        <v>180</v>
      </c>
      <c r="E39" s="76"/>
      <c r="F39" s="76"/>
      <c r="G39" s="77">
        <f>C39*7/D39*L12/7*L13</f>
        <v>0</v>
      </c>
      <c r="H39" s="27">
        <f>2300*7.7</f>
        <v>17710</v>
      </c>
      <c r="I39" s="632">
        <f>(C39+G39)*H39</f>
        <v>1106033.7749999999</v>
      </c>
      <c r="J39" s="633"/>
      <c r="K39" s="98"/>
      <c r="L39" s="634"/>
      <c r="M39" s="635"/>
      <c r="N39" s="635"/>
      <c r="O39" s="636"/>
      <c r="P39" s="100"/>
    </row>
    <row r="40" spans="1:17" ht="18" customHeight="1">
      <c r="A40" s="18"/>
      <c r="B40" s="161" t="s">
        <v>158</v>
      </c>
      <c r="C40" s="10">
        <f>C6*1000*500/1000000</f>
        <v>18.925000000000001</v>
      </c>
      <c r="D40" s="99">
        <v>180</v>
      </c>
      <c r="E40" s="10"/>
      <c r="F40" s="10"/>
      <c r="G40" s="55">
        <f>C40*7/D40*L11/7*L12</f>
        <v>37.849999999999994</v>
      </c>
      <c r="H40" s="199">
        <v>14300</v>
      </c>
      <c r="I40" s="558">
        <f t="shared" ref="I40:I41" si="6">(C40+G40)*H40</f>
        <v>811882.49999999988</v>
      </c>
      <c r="J40" s="559"/>
      <c r="K40" s="98"/>
      <c r="L40" s="634"/>
      <c r="M40" s="635"/>
      <c r="N40" s="635"/>
      <c r="O40" s="636"/>
      <c r="P40" s="60"/>
    </row>
    <row r="41" spans="1:17" ht="18" customHeight="1">
      <c r="A41" s="18"/>
      <c r="B41" s="161" t="s">
        <v>159</v>
      </c>
      <c r="C41" s="10">
        <f>C6*1000*500/1000000</f>
        <v>18.925000000000001</v>
      </c>
      <c r="D41" s="99">
        <v>180</v>
      </c>
      <c r="E41" s="10"/>
      <c r="F41" s="10"/>
      <c r="G41" s="55">
        <f>C41*7/D41*L11/7*L12</f>
        <v>37.849999999999994</v>
      </c>
      <c r="H41" s="199">
        <f>275000/12</f>
        <v>22916.666666666668</v>
      </c>
      <c r="I41" s="558">
        <f t="shared" si="6"/>
        <v>1301093.7499999998</v>
      </c>
      <c r="J41" s="559"/>
      <c r="K41" s="98"/>
      <c r="L41" s="634"/>
      <c r="M41" s="635"/>
      <c r="N41" s="635"/>
      <c r="O41" s="636"/>
      <c r="P41" s="60"/>
    </row>
    <row r="42" spans="1:17" ht="18" customHeight="1">
      <c r="B42" s="150" t="s">
        <v>69</v>
      </c>
      <c r="C42" s="70" t="s">
        <v>79</v>
      </c>
      <c r="D42" s="138" t="s">
        <v>38</v>
      </c>
      <c r="E42" s="23" t="s">
        <v>39</v>
      </c>
      <c r="F42" s="23" t="s">
        <v>61</v>
      </c>
      <c r="G42" s="24" t="s">
        <v>71</v>
      </c>
      <c r="H42" s="69" t="s">
        <v>77</v>
      </c>
      <c r="I42" s="618" t="s">
        <v>43</v>
      </c>
      <c r="J42" s="614"/>
      <c r="K42" s="37"/>
      <c r="L42" s="619" t="s">
        <v>44</v>
      </c>
      <c r="M42" s="620"/>
      <c r="N42" s="620"/>
      <c r="O42" s="151" t="s">
        <v>66</v>
      </c>
      <c r="P42" s="140"/>
    </row>
    <row r="43" spans="1:17" s="44" customFormat="1" ht="18" customHeight="1">
      <c r="B43" s="147" t="s">
        <v>122</v>
      </c>
      <c r="C43" s="25">
        <f>C6*1000*100/1000000</f>
        <v>3.7850000000000001</v>
      </c>
      <c r="D43" s="50">
        <f>E43/L10</f>
        <v>2.4428571428571426</v>
      </c>
      <c r="E43" s="51">
        <f>F43/0.005/L11</f>
        <v>58.628571428571419</v>
      </c>
      <c r="F43" s="51">
        <f>G43/L12</f>
        <v>8.7942857142857136</v>
      </c>
      <c r="G43" s="50">
        <f>(N7+C10)*1000*25/1000000*L10*L11*L12</f>
        <v>105.53142857142856</v>
      </c>
      <c r="H43" s="199">
        <f>330000/5</f>
        <v>66000</v>
      </c>
      <c r="I43" s="558">
        <f>H43*G43</f>
        <v>6965074.2857142854</v>
      </c>
      <c r="J43" s="559"/>
      <c r="K43" s="38"/>
      <c r="L43" s="629" t="s">
        <v>208</v>
      </c>
      <c r="M43" s="630"/>
      <c r="N43" s="630"/>
      <c r="O43" s="162">
        <f>360*D43/1.8</f>
        <v>488.5714285714285</v>
      </c>
      <c r="P43" s="63" t="s">
        <v>109</v>
      </c>
    </row>
    <row r="44" spans="1:17" s="44" customFormat="1" ht="18" customHeight="1">
      <c r="B44" s="147" t="s">
        <v>157</v>
      </c>
      <c r="C44" s="25">
        <f>C4/100*0.6</f>
        <v>6</v>
      </c>
      <c r="D44" s="130" t="s">
        <v>207</v>
      </c>
      <c r="E44" s="51"/>
      <c r="F44" s="51">
        <f>C44</f>
        <v>6</v>
      </c>
      <c r="G44" s="50">
        <f>F44*L12</f>
        <v>72</v>
      </c>
      <c r="H44" s="200">
        <f>451000/1.2</f>
        <v>375833.33333333337</v>
      </c>
      <c r="I44" s="558">
        <f>H44*G44</f>
        <v>27060000.000000004</v>
      </c>
      <c r="J44" s="559"/>
      <c r="K44" s="38"/>
      <c r="L44" s="629" t="s">
        <v>205</v>
      </c>
      <c r="M44" s="630"/>
      <c r="N44" s="630"/>
      <c r="O44" s="631"/>
      <c r="P44" s="63"/>
    </row>
    <row r="45" spans="1:17" ht="18" customHeight="1">
      <c r="B45" s="150" t="s">
        <v>70</v>
      </c>
      <c r="C45" s="70" t="s">
        <v>88</v>
      </c>
      <c r="D45" s="70" t="s">
        <v>87</v>
      </c>
      <c r="E45" s="23" t="s">
        <v>82</v>
      </c>
      <c r="F45" s="23" t="s">
        <v>61</v>
      </c>
      <c r="G45" s="24" t="s">
        <v>83</v>
      </c>
      <c r="H45" s="69" t="s">
        <v>77</v>
      </c>
      <c r="I45" s="618" t="s">
        <v>43</v>
      </c>
      <c r="J45" s="614"/>
      <c r="K45" s="37"/>
      <c r="L45" s="619" t="s">
        <v>44</v>
      </c>
      <c r="M45" s="620"/>
      <c r="N45" s="620"/>
      <c r="O45" s="151" t="s">
        <v>51</v>
      </c>
    </row>
    <row r="46" spans="1:17" s="44" customFormat="1" ht="18" customHeight="1">
      <c r="B46" s="163" t="s">
        <v>67</v>
      </c>
      <c r="C46" s="210">
        <f>C6*1000*4/1000000/0.02</f>
        <v>7.57</v>
      </c>
      <c r="D46" s="136">
        <v>3.5</v>
      </c>
      <c r="E46" s="52">
        <f>C6*1000*4/1000000*7/D46</f>
        <v>0.30280000000000001</v>
      </c>
      <c r="F46" s="52">
        <f>E46*30/7</f>
        <v>1.2977142857142856</v>
      </c>
      <c r="G46" s="53">
        <f>F46*L12</f>
        <v>15.572571428571427</v>
      </c>
      <c r="H46" s="200">
        <f>477000/2.27</f>
        <v>210132.15859030836</v>
      </c>
      <c r="I46" s="621">
        <f>H46*G46</f>
        <v>3272298.049087476</v>
      </c>
      <c r="J46" s="622"/>
      <c r="K46" s="46"/>
      <c r="L46" s="623" t="s">
        <v>217</v>
      </c>
      <c r="M46" s="624"/>
      <c r="N46" s="624"/>
      <c r="O46" s="164">
        <f>60*C46/1.8</f>
        <v>252.33333333333334</v>
      </c>
      <c r="P46" s="63" t="s">
        <v>63</v>
      </c>
    </row>
    <row r="47" spans="1:17" s="44" customFormat="1" ht="18" hidden="1" customHeight="1">
      <c r="B47" s="165" t="s">
        <v>133</v>
      </c>
      <c r="C47" s="211">
        <f>C6*1000*1.2/1000000</f>
        <v>4.5420000000000002E-2</v>
      </c>
      <c r="D47" s="87">
        <v>3.5</v>
      </c>
      <c r="E47" s="86">
        <f>C6*1000*1.2/1000000*7/D47</f>
        <v>9.0840000000000004E-2</v>
      </c>
      <c r="F47" s="88">
        <f>E47*30/7</f>
        <v>0.38931428571428572</v>
      </c>
      <c r="G47" s="89">
        <f>F47*L12</f>
        <v>4.6717714285714287</v>
      </c>
      <c r="H47" s="45">
        <f>412.2*1200*1.4*5/20</f>
        <v>173124</v>
      </c>
      <c r="I47" s="625">
        <f>H47*G47</f>
        <v>808795.75679999997</v>
      </c>
      <c r="J47" s="626"/>
      <c r="K47" s="84"/>
      <c r="L47" s="213"/>
      <c r="M47" s="214"/>
      <c r="N47" s="214"/>
      <c r="O47" s="166"/>
      <c r="P47" s="63"/>
    </row>
    <row r="48" spans="1:17" s="44" customFormat="1" ht="18" customHeight="1">
      <c r="B48" s="202" t="s">
        <v>209</v>
      </c>
      <c r="C48" s="209">
        <f>C6*1000*1.2/1000000/0.005</f>
        <v>9.0839999999999996</v>
      </c>
      <c r="D48" s="204">
        <v>3.5</v>
      </c>
      <c r="E48" s="205">
        <f>C6*1000*1.2/1000000*7/D48</f>
        <v>9.0840000000000004E-2</v>
      </c>
      <c r="F48" s="203">
        <f>E48*30/7</f>
        <v>0.38931428571428572</v>
      </c>
      <c r="G48" s="206">
        <f>F48*L12</f>
        <v>4.6717714285714287</v>
      </c>
      <c r="H48" s="207">
        <f>1000000/2.27</f>
        <v>440528.6343612335</v>
      </c>
      <c r="I48" s="627">
        <f>H48*G48</f>
        <v>2058049.0874764004</v>
      </c>
      <c r="J48" s="628"/>
      <c r="K48" s="46"/>
      <c r="L48" s="623" t="s">
        <v>217</v>
      </c>
      <c r="M48" s="624"/>
      <c r="N48" s="624"/>
      <c r="O48" s="164">
        <f>60*C48/1.8</f>
        <v>302.79999999999995</v>
      </c>
      <c r="P48" s="63" t="s">
        <v>63</v>
      </c>
      <c r="Q48" s="208" t="s">
        <v>211</v>
      </c>
    </row>
    <row r="49" spans="1:17" s="44" customFormat="1" ht="18" customHeight="1">
      <c r="B49" s="167" t="s">
        <v>210</v>
      </c>
      <c r="C49" s="52">
        <f>C6*1000*40/1000000</f>
        <v>1.514</v>
      </c>
      <c r="D49" s="137">
        <v>7</v>
      </c>
      <c r="E49" s="10">
        <f>C49*7/D49</f>
        <v>1.514</v>
      </c>
      <c r="F49" s="73">
        <f>E49*30/7</f>
        <v>6.4885714285714284</v>
      </c>
      <c r="G49" s="74">
        <f>F49*L12</f>
        <v>77.862857142857138</v>
      </c>
      <c r="H49" s="200">
        <f>143000/5</f>
        <v>28600</v>
      </c>
      <c r="I49" s="602">
        <f>H49*G49</f>
        <v>2226877.7142857141</v>
      </c>
      <c r="J49" s="602"/>
      <c r="K49" s="46"/>
      <c r="L49" s="603"/>
      <c r="M49" s="604"/>
      <c r="N49" s="604"/>
      <c r="O49" s="605"/>
      <c r="P49" s="63" t="s">
        <v>89</v>
      </c>
      <c r="Q49" s="208"/>
    </row>
    <row r="50" spans="1:17" s="44" customFormat="1" ht="18" hidden="1" customHeight="1">
      <c r="B50" s="165" t="s">
        <v>68</v>
      </c>
      <c r="C50" s="76">
        <f>C6*1000*50/1000000</f>
        <v>1.8925000000000001</v>
      </c>
      <c r="D50" s="81">
        <v>21</v>
      </c>
      <c r="E50" s="82"/>
      <c r="F50" s="76">
        <f>C50*30/D50</f>
        <v>2.7035714285714287</v>
      </c>
      <c r="G50" s="77">
        <f>F50*L12</f>
        <v>32.442857142857143</v>
      </c>
      <c r="H50" s="83">
        <f>620730/2.5</f>
        <v>248292</v>
      </c>
      <c r="I50" s="606">
        <f>H50*G50</f>
        <v>8055301.885714286</v>
      </c>
      <c r="J50" s="606"/>
      <c r="K50" s="84"/>
      <c r="L50" s="607" t="s">
        <v>94</v>
      </c>
      <c r="M50" s="608"/>
      <c r="N50" s="608"/>
      <c r="O50" s="609"/>
      <c r="P50" s="85" t="s">
        <v>98</v>
      </c>
    </row>
    <row r="51" spans="1:17" ht="5.5" customHeight="1">
      <c r="B51" s="149"/>
      <c r="O51" s="144"/>
    </row>
    <row r="52" spans="1:17" s="44" customFormat="1" ht="18" customHeight="1">
      <c r="B52" s="610" t="s">
        <v>64</v>
      </c>
      <c r="C52" s="611"/>
      <c r="D52" s="611"/>
      <c r="E52" s="611"/>
      <c r="F52" s="612"/>
      <c r="G52" s="48" t="s">
        <v>65</v>
      </c>
      <c r="H52" s="47" t="s">
        <v>62</v>
      </c>
      <c r="I52" s="613" t="s">
        <v>93</v>
      </c>
      <c r="J52" s="614"/>
      <c r="K52" s="49"/>
      <c r="L52" s="615"/>
      <c r="M52" s="616"/>
      <c r="N52" s="616"/>
      <c r="O52" s="617"/>
      <c r="P52" s="63"/>
    </row>
    <row r="53" spans="1:17" s="44" customFormat="1" ht="18" customHeight="1" thickBot="1">
      <c r="B53" s="580" t="s">
        <v>206</v>
      </c>
      <c r="C53" s="581"/>
      <c r="D53" s="581"/>
      <c r="E53" s="581"/>
      <c r="F53" s="582"/>
      <c r="G53" s="196">
        <v>1</v>
      </c>
      <c r="H53" s="197">
        <v>390000</v>
      </c>
      <c r="I53" s="583">
        <v>0</v>
      </c>
      <c r="J53" s="584"/>
      <c r="K53" s="198"/>
      <c r="L53" s="585" t="s">
        <v>136</v>
      </c>
      <c r="M53" s="586"/>
      <c r="N53" s="586"/>
      <c r="O53" s="587"/>
      <c r="P53" s="63"/>
    </row>
    <row r="54" spans="1:17" ht="5.5" customHeight="1" thickBot="1">
      <c r="A54" s="18"/>
      <c r="B54" s="149"/>
      <c r="C54" s="92"/>
      <c r="D54" s="192"/>
      <c r="E54" s="92"/>
      <c r="F54" s="92"/>
      <c r="G54" s="193"/>
      <c r="H54" s="192"/>
      <c r="I54" s="34"/>
      <c r="J54" s="34"/>
      <c r="K54" s="38"/>
      <c r="L54" s="194"/>
      <c r="M54" s="194"/>
      <c r="N54" s="194"/>
      <c r="O54" s="195"/>
      <c r="P54" s="60"/>
    </row>
    <row r="55" spans="1:17" ht="18" customHeight="1">
      <c r="B55" s="588" t="s">
        <v>55</v>
      </c>
      <c r="C55" s="176" t="s">
        <v>124</v>
      </c>
      <c r="D55" s="177" t="s">
        <v>125</v>
      </c>
      <c r="E55" s="178" t="s">
        <v>126</v>
      </c>
      <c r="F55" s="179" t="s">
        <v>132</v>
      </c>
      <c r="G55" s="179" t="s">
        <v>128</v>
      </c>
      <c r="H55" s="176" t="s">
        <v>129</v>
      </c>
      <c r="I55" s="591" t="s">
        <v>127</v>
      </c>
      <c r="J55" s="592"/>
      <c r="K55" s="180"/>
      <c r="L55" s="593" t="s">
        <v>44</v>
      </c>
      <c r="M55" s="594"/>
      <c r="N55" s="594"/>
      <c r="O55" s="595"/>
      <c r="P55" s="140"/>
    </row>
    <row r="56" spans="1:17" ht="18" customHeight="1">
      <c r="B56" s="589"/>
      <c r="C56" s="596" t="s">
        <v>56</v>
      </c>
      <c r="D56" s="29" t="s">
        <v>57</v>
      </c>
      <c r="E56" s="599">
        <v>6</v>
      </c>
      <c r="F56" s="55">
        <f>E56*1000*11100/1000000</f>
        <v>66.599999999999994</v>
      </c>
      <c r="G56" s="29" t="s">
        <v>130</v>
      </c>
      <c r="H56" s="200">
        <v>14000</v>
      </c>
      <c r="I56" s="558">
        <f>F56*H56</f>
        <v>932399.99999999988</v>
      </c>
      <c r="J56" s="559"/>
      <c r="K56" s="38"/>
      <c r="L56" s="560"/>
      <c r="M56" s="561"/>
      <c r="N56" s="561"/>
      <c r="O56" s="562"/>
    </row>
    <row r="57" spans="1:17" ht="18" customHeight="1">
      <c r="B57" s="589"/>
      <c r="C57" s="597"/>
      <c r="D57" s="29" t="s">
        <v>58</v>
      </c>
      <c r="E57" s="600"/>
      <c r="F57" s="55">
        <f>E56*1000*2400/1000000</f>
        <v>14.4</v>
      </c>
      <c r="G57" s="29" t="s">
        <v>130</v>
      </c>
      <c r="H57" s="200">
        <v>12900</v>
      </c>
      <c r="I57" s="558">
        <f>F57*H57</f>
        <v>185760</v>
      </c>
      <c r="J57" s="559"/>
      <c r="K57" s="38"/>
      <c r="L57" s="572"/>
      <c r="M57" s="573"/>
      <c r="N57" s="573"/>
      <c r="O57" s="574"/>
    </row>
    <row r="58" spans="1:17" ht="18" customHeight="1">
      <c r="B58" s="589"/>
      <c r="C58" s="597"/>
      <c r="D58" s="29" t="s">
        <v>141</v>
      </c>
      <c r="E58" s="600"/>
      <c r="F58" s="93">
        <f>E56*1000*692/1000000/9.1</f>
        <v>0.45626373626373629</v>
      </c>
      <c r="G58" s="29" t="s">
        <v>131</v>
      </c>
      <c r="H58" s="199">
        <v>1296000</v>
      </c>
      <c r="I58" s="575">
        <f>H58*F58</f>
        <v>591317.80219780223</v>
      </c>
      <c r="J58" s="576"/>
      <c r="K58" s="38"/>
      <c r="L58" s="577" t="s">
        <v>121</v>
      </c>
      <c r="M58" s="578"/>
      <c r="N58" s="578"/>
      <c r="O58" s="579"/>
      <c r="P58" s="62" t="s">
        <v>123</v>
      </c>
    </row>
    <row r="59" spans="1:17" ht="18" customHeight="1">
      <c r="B59" s="589"/>
      <c r="C59" s="597"/>
      <c r="D59" s="29" t="s">
        <v>59</v>
      </c>
      <c r="E59" s="600"/>
      <c r="F59" s="55">
        <f>E56*1000/950</f>
        <v>6.3157894736842106</v>
      </c>
      <c r="G59" s="29" t="s">
        <v>130</v>
      </c>
      <c r="H59" s="200">
        <v>39400</v>
      </c>
      <c r="I59" s="558">
        <f>F59*H59</f>
        <v>248842.10526315789</v>
      </c>
      <c r="J59" s="559"/>
      <c r="K59" s="38"/>
      <c r="L59" s="560"/>
      <c r="M59" s="561"/>
      <c r="N59" s="561"/>
      <c r="O59" s="562"/>
    </row>
    <row r="60" spans="1:17" ht="18" customHeight="1">
      <c r="B60" s="589"/>
      <c r="C60" s="598"/>
      <c r="D60" s="29" t="s">
        <v>154</v>
      </c>
      <c r="E60" s="600"/>
      <c r="F60" s="55">
        <f>E56*1000*230/1000000</f>
        <v>1.38</v>
      </c>
      <c r="G60" s="29" t="s">
        <v>140</v>
      </c>
      <c r="H60" s="199">
        <f>2530000/9.1</f>
        <v>278021.97802197805</v>
      </c>
      <c r="I60" s="558">
        <f>F60*H60</f>
        <v>383670.32967032969</v>
      </c>
      <c r="J60" s="559"/>
      <c r="K60" s="38"/>
      <c r="L60" s="560" t="s">
        <v>156</v>
      </c>
      <c r="M60" s="561"/>
      <c r="N60" s="561"/>
      <c r="O60" s="562"/>
    </row>
    <row r="61" spans="1:17" ht="18" customHeight="1" thickBot="1">
      <c r="B61" s="590"/>
      <c r="C61" s="181" t="s">
        <v>60</v>
      </c>
      <c r="D61" s="182" t="s">
        <v>52</v>
      </c>
      <c r="E61" s="601"/>
      <c r="F61" s="183">
        <f>E56*1000*120/1000000*4</f>
        <v>2.88</v>
      </c>
      <c r="G61" s="182" t="s">
        <v>130</v>
      </c>
      <c r="H61" s="200">
        <v>15400</v>
      </c>
      <c r="I61" s="563">
        <f>F61*H61</f>
        <v>44352</v>
      </c>
      <c r="J61" s="564"/>
      <c r="K61" s="184"/>
      <c r="L61" s="565" t="s">
        <v>108</v>
      </c>
      <c r="M61" s="566"/>
      <c r="N61" s="566"/>
      <c r="O61" s="567"/>
    </row>
    <row r="62" spans="1:17" ht="5.5" customHeight="1" thickBot="1">
      <c r="B62" s="149"/>
      <c r="C62" s="31"/>
      <c r="D62" s="32"/>
      <c r="F62" s="33"/>
      <c r="G62" s="30"/>
      <c r="H62" s="30"/>
      <c r="I62" s="34"/>
      <c r="J62" s="34"/>
      <c r="K62" s="38"/>
      <c r="L62" s="35"/>
      <c r="M62" s="35"/>
      <c r="N62" s="35"/>
      <c r="O62" s="169"/>
    </row>
    <row r="63" spans="1:17" ht="18" customHeight="1">
      <c r="B63" s="185" t="s">
        <v>119</v>
      </c>
      <c r="C63" s="186" t="s">
        <v>99</v>
      </c>
      <c r="D63" s="187" t="s">
        <v>38</v>
      </c>
      <c r="E63" s="188" t="s">
        <v>39</v>
      </c>
      <c r="F63" s="188" t="s">
        <v>40</v>
      </c>
      <c r="G63" s="189" t="s">
        <v>41</v>
      </c>
      <c r="H63" s="186" t="s">
        <v>42</v>
      </c>
      <c r="I63" s="568" t="s">
        <v>107</v>
      </c>
      <c r="J63" s="569"/>
      <c r="K63" s="190"/>
      <c r="L63" s="570" t="s">
        <v>44</v>
      </c>
      <c r="M63" s="571"/>
      <c r="N63" s="571"/>
      <c r="O63" s="191" t="s">
        <v>66</v>
      </c>
      <c r="P63" s="140"/>
    </row>
    <row r="64" spans="1:17" ht="18" customHeight="1">
      <c r="A64" s="18"/>
      <c r="B64" s="154" t="s">
        <v>46</v>
      </c>
      <c r="C64" s="64">
        <f>C6*1000*100/1000000</f>
        <v>3.7850000000000001</v>
      </c>
      <c r="D64" s="64">
        <f>(N7+C10)*1000*100/1000000</f>
        <v>4.8857142857142856E-2</v>
      </c>
      <c r="E64" s="64">
        <f>D64*L10</f>
        <v>1.1725714285714286</v>
      </c>
      <c r="F64" s="75">
        <f>E64*L11</f>
        <v>35.177142857142854</v>
      </c>
      <c r="G64" s="67">
        <f>F64*L12</f>
        <v>422.12571428571425</v>
      </c>
      <c r="H64" s="199">
        <v>12200</v>
      </c>
      <c r="I64" s="550">
        <f>H64*G64</f>
        <v>5149933.7142857136</v>
      </c>
      <c r="J64" s="551"/>
      <c r="K64" s="57"/>
      <c r="L64" s="552" t="s">
        <v>120</v>
      </c>
      <c r="M64" s="553"/>
      <c r="N64" s="553"/>
      <c r="O64" s="156">
        <f>360*D64/1.8</f>
        <v>9.7714285714285705</v>
      </c>
      <c r="P64" s="60"/>
    </row>
    <row r="65" spans="1:16" ht="18" customHeight="1">
      <c r="A65" s="18"/>
      <c r="B65" s="154" t="s">
        <v>47</v>
      </c>
      <c r="C65" s="64">
        <f>C6*1000/700</f>
        <v>54.071428571428569</v>
      </c>
      <c r="D65" s="64">
        <f>(N7+C10)*1000/700</f>
        <v>0.69795918367346932</v>
      </c>
      <c r="E65" s="64">
        <f>D65*L10</f>
        <v>16.751020408163264</v>
      </c>
      <c r="F65" s="75">
        <f>E65*L11</f>
        <v>502.5306122448979</v>
      </c>
      <c r="G65" s="67">
        <f>F65*3</f>
        <v>1507.5918367346937</v>
      </c>
      <c r="H65" s="199">
        <v>12200</v>
      </c>
      <c r="I65" s="550">
        <f>(C65+G65)*H65</f>
        <v>19052291.836734693</v>
      </c>
      <c r="J65" s="551"/>
      <c r="K65" s="57"/>
      <c r="L65" s="552" t="s">
        <v>115</v>
      </c>
      <c r="M65" s="553"/>
      <c r="N65" s="553"/>
      <c r="O65" s="168">
        <f>360*D65/1.8</f>
        <v>139.59183673469386</v>
      </c>
      <c r="P65" s="60"/>
    </row>
    <row r="66" spans="1:16" ht="18" customHeight="1" thickBot="1">
      <c r="A66" s="18"/>
      <c r="B66" s="170" t="s">
        <v>48</v>
      </c>
      <c r="C66" s="171">
        <f>C6*1000/700*16/100</f>
        <v>8.6514285714285712</v>
      </c>
      <c r="D66" s="171">
        <f>(N7+C10)*1000/700*16/100</f>
        <v>0.11167346938775509</v>
      </c>
      <c r="E66" s="171">
        <f>D66*L10</f>
        <v>2.6801632653061223</v>
      </c>
      <c r="F66" s="172">
        <f>E66*L11</f>
        <v>80.404897959183671</v>
      </c>
      <c r="G66" s="173">
        <f>F66*3</f>
        <v>241.21469387755101</v>
      </c>
      <c r="H66" s="199">
        <v>34000</v>
      </c>
      <c r="I66" s="554">
        <f>(C66+G66)*H66</f>
        <v>8495448.1632653065</v>
      </c>
      <c r="J66" s="555"/>
      <c r="K66" s="174"/>
      <c r="L66" s="556" t="s">
        <v>115</v>
      </c>
      <c r="M66" s="557"/>
      <c r="N66" s="557"/>
      <c r="O66" s="175">
        <f>360*D66/1.8</f>
        <v>22.334693877551018</v>
      </c>
      <c r="P66" s="60"/>
    </row>
  </sheetData>
  <mergeCells count="110">
    <mergeCell ref="B2:O2"/>
    <mergeCell ref="L4:M4"/>
    <mergeCell ref="L5:M5"/>
    <mergeCell ref="L6:M6"/>
    <mergeCell ref="L7:M7"/>
    <mergeCell ref="L9:M9"/>
    <mergeCell ref="I17:J17"/>
    <mergeCell ref="L17:N17"/>
    <mergeCell ref="I18:J18"/>
    <mergeCell ref="L18:N18"/>
    <mergeCell ref="I19:J19"/>
    <mergeCell ref="L19:N19"/>
    <mergeCell ref="I14:J14"/>
    <mergeCell ref="L14:N14"/>
    <mergeCell ref="I15:J15"/>
    <mergeCell ref="L15:N15"/>
    <mergeCell ref="I16:J16"/>
    <mergeCell ref="L16:N16"/>
    <mergeCell ref="I23:J23"/>
    <mergeCell ref="L23:N23"/>
    <mergeCell ref="I24:J24"/>
    <mergeCell ref="L24:N24"/>
    <mergeCell ref="I25:J25"/>
    <mergeCell ref="L25:N25"/>
    <mergeCell ref="I20:J20"/>
    <mergeCell ref="L20:N20"/>
    <mergeCell ref="I21:J21"/>
    <mergeCell ref="L21:N21"/>
    <mergeCell ref="I22:J22"/>
    <mergeCell ref="L22:N22"/>
    <mergeCell ref="I29:J29"/>
    <mergeCell ref="L29:N29"/>
    <mergeCell ref="I30:J31"/>
    <mergeCell ref="L30:N30"/>
    <mergeCell ref="L31:N31"/>
    <mergeCell ref="I32:J32"/>
    <mergeCell ref="L32:N32"/>
    <mergeCell ref="Q25:S25"/>
    <mergeCell ref="I26:J26"/>
    <mergeCell ref="L26:N26"/>
    <mergeCell ref="I27:J27"/>
    <mergeCell ref="L27:N27"/>
    <mergeCell ref="I28:J28"/>
    <mergeCell ref="L28:N28"/>
    <mergeCell ref="I36:J36"/>
    <mergeCell ref="L36:N36"/>
    <mergeCell ref="I37:J37"/>
    <mergeCell ref="L37:N37"/>
    <mergeCell ref="I38:J38"/>
    <mergeCell ref="L38:O38"/>
    <mergeCell ref="I33:J33"/>
    <mergeCell ref="L33:N33"/>
    <mergeCell ref="I34:J34"/>
    <mergeCell ref="L34:N34"/>
    <mergeCell ref="I35:J35"/>
    <mergeCell ref="L35:N35"/>
    <mergeCell ref="I42:J42"/>
    <mergeCell ref="L42:N42"/>
    <mergeCell ref="I43:J43"/>
    <mergeCell ref="L43:N43"/>
    <mergeCell ref="I44:J44"/>
    <mergeCell ref="L44:O44"/>
    <mergeCell ref="I39:J39"/>
    <mergeCell ref="L39:O39"/>
    <mergeCell ref="I40:J40"/>
    <mergeCell ref="L40:O40"/>
    <mergeCell ref="I41:J41"/>
    <mergeCell ref="L41:O41"/>
    <mergeCell ref="I49:J49"/>
    <mergeCell ref="L49:O49"/>
    <mergeCell ref="I50:J50"/>
    <mergeCell ref="L50:O50"/>
    <mergeCell ref="B52:F52"/>
    <mergeCell ref="I52:J52"/>
    <mergeCell ref="L52:O52"/>
    <mergeCell ref="I45:J45"/>
    <mergeCell ref="L45:N45"/>
    <mergeCell ref="I46:J46"/>
    <mergeCell ref="L46:N46"/>
    <mergeCell ref="I47:J47"/>
    <mergeCell ref="I48:J48"/>
    <mergeCell ref="L48:N48"/>
    <mergeCell ref="I57:J57"/>
    <mergeCell ref="L57:O57"/>
    <mergeCell ref="I58:J58"/>
    <mergeCell ref="L58:O58"/>
    <mergeCell ref="I59:J59"/>
    <mergeCell ref="L59:O59"/>
    <mergeCell ref="B53:F53"/>
    <mergeCell ref="I53:J53"/>
    <mergeCell ref="L53:O53"/>
    <mergeCell ref="B55:B61"/>
    <mergeCell ref="I55:J55"/>
    <mergeCell ref="L55:O55"/>
    <mergeCell ref="C56:C60"/>
    <mergeCell ref="E56:E61"/>
    <mergeCell ref="I56:J56"/>
    <mergeCell ref="L56:O56"/>
    <mergeCell ref="I64:J64"/>
    <mergeCell ref="L64:N64"/>
    <mergeCell ref="I65:J65"/>
    <mergeCell ref="L65:N65"/>
    <mergeCell ref="I66:J66"/>
    <mergeCell ref="L66:N66"/>
    <mergeCell ref="I60:J60"/>
    <mergeCell ref="L60:O60"/>
    <mergeCell ref="I61:J61"/>
    <mergeCell ref="L61:O61"/>
    <mergeCell ref="I63:J63"/>
    <mergeCell ref="L63:N63"/>
  </mergeCells>
  <phoneticPr fontId="2" type="noConversion"/>
  <printOptions horizontalCentered="1"/>
  <pageMargins left="0.59055118110236227" right="0.59055118110236227" top="0.78740157480314965" bottom="0.59055118110236227" header="0.31496062992125984" footer="0.31496062992125984"/>
  <pageSetup paperSize="9" scale="47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1"/>
  <sheetViews>
    <sheetView showGridLines="0" zoomScaleNormal="100" workbookViewId="0">
      <selection activeCell="P17" sqref="P17"/>
    </sheetView>
  </sheetViews>
  <sheetFormatPr defaultColWidth="8.9140625" defaultRowHeight="14"/>
  <cols>
    <col min="1" max="1" width="1.08203125" style="104" customWidth="1"/>
    <col min="2" max="2" width="13.58203125" style="104" bestFit="1" customWidth="1"/>
    <col min="3" max="3" width="5.4140625" style="104" bestFit="1" customWidth="1"/>
    <col min="4" max="4" width="8.4140625" style="104" bestFit="1" customWidth="1"/>
    <col min="5" max="5" width="5.4140625" style="104" bestFit="1" customWidth="1"/>
    <col min="6" max="6" width="9.9140625" style="104" bestFit="1" customWidth="1"/>
    <col min="7" max="7" width="5.4140625" style="104" bestFit="1" customWidth="1"/>
    <col min="8" max="8" width="9.9140625" style="104" bestFit="1" customWidth="1"/>
    <col min="9" max="9" width="5.4140625" style="104" bestFit="1" customWidth="1"/>
    <col min="10" max="10" width="9.9140625" style="104" bestFit="1" customWidth="1"/>
    <col min="11" max="11" width="5.4140625" style="104" bestFit="1" customWidth="1"/>
    <col min="12" max="13" width="9.9140625" style="104" bestFit="1" customWidth="1"/>
    <col min="14" max="256" width="8.9140625" style="104"/>
    <col min="257" max="257" width="1.08203125" style="104" customWidth="1"/>
    <col min="258" max="258" width="13.1640625" style="104" customWidth="1"/>
    <col min="259" max="259" width="5" style="104" bestFit="1" customWidth="1"/>
    <col min="260" max="260" width="7.83203125" style="104" bestFit="1" customWidth="1"/>
    <col min="261" max="261" width="5" style="104" bestFit="1" customWidth="1"/>
    <col min="262" max="262" width="9.33203125" style="104" bestFit="1" customWidth="1"/>
    <col min="263" max="263" width="5" style="104" bestFit="1" customWidth="1"/>
    <col min="264" max="264" width="9.33203125" style="104" bestFit="1" customWidth="1"/>
    <col min="265" max="265" width="5" style="104" bestFit="1" customWidth="1"/>
    <col min="266" max="266" width="9.33203125" style="104" bestFit="1" customWidth="1"/>
    <col min="267" max="267" width="5" style="104" bestFit="1" customWidth="1"/>
    <col min="268" max="268" width="9.33203125" style="104" bestFit="1" customWidth="1"/>
    <col min="269" max="269" width="9.1640625" style="104" bestFit="1" customWidth="1"/>
    <col min="270" max="512" width="8.9140625" style="104"/>
    <col min="513" max="513" width="1.08203125" style="104" customWidth="1"/>
    <col min="514" max="514" width="13.1640625" style="104" customWidth="1"/>
    <col min="515" max="515" width="5" style="104" bestFit="1" customWidth="1"/>
    <col min="516" max="516" width="7.83203125" style="104" bestFit="1" customWidth="1"/>
    <col min="517" max="517" width="5" style="104" bestFit="1" customWidth="1"/>
    <col min="518" max="518" width="9.33203125" style="104" bestFit="1" customWidth="1"/>
    <col min="519" max="519" width="5" style="104" bestFit="1" customWidth="1"/>
    <col min="520" max="520" width="9.33203125" style="104" bestFit="1" customWidth="1"/>
    <col min="521" max="521" width="5" style="104" bestFit="1" customWidth="1"/>
    <col min="522" max="522" width="9.33203125" style="104" bestFit="1" customWidth="1"/>
    <col min="523" max="523" width="5" style="104" bestFit="1" customWidth="1"/>
    <col min="524" max="524" width="9.33203125" style="104" bestFit="1" customWidth="1"/>
    <col min="525" max="525" width="9.1640625" style="104" bestFit="1" customWidth="1"/>
    <col min="526" max="768" width="8.9140625" style="104"/>
    <col min="769" max="769" width="1.08203125" style="104" customWidth="1"/>
    <col min="770" max="770" width="13.1640625" style="104" customWidth="1"/>
    <col min="771" max="771" width="5" style="104" bestFit="1" customWidth="1"/>
    <col min="772" max="772" width="7.83203125" style="104" bestFit="1" customWidth="1"/>
    <col min="773" max="773" width="5" style="104" bestFit="1" customWidth="1"/>
    <col min="774" max="774" width="9.33203125" style="104" bestFit="1" customWidth="1"/>
    <col min="775" max="775" width="5" style="104" bestFit="1" customWidth="1"/>
    <col min="776" max="776" width="9.33203125" style="104" bestFit="1" customWidth="1"/>
    <col min="777" max="777" width="5" style="104" bestFit="1" customWidth="1"/>
    <col min="778" max="778" width="9.33203125" style="104" bestFit="1" customWidth="1"/>
    <col min="779" max="779" width="5" style="104" bestFit="1" customWidth="1"/>
    <col min="780" max="780" width="9.33203125" style="104" bestFit="1" customWidth="1"/>
    <col min="781" max="781" width="9.1640625" style="104" bestFit="1" customWidth="1"/>
    <col min="782" max="1024" width="8.9140625" style="104"/>
    <col min="1025" max="1025" width="1.08203125" style="104" customWidth="1"/>
    <col min="1026" max="1026" width="13.1640625" style="104" customWidth="1"/>
    <col min="1027" max="1027" width="5" style="104" bestFit="1" customWidth="1"/>
    <col min="1028" max="1028" width="7.83203125" style="104" bestFit="1" customWidth="1"/>
    <col min="1029" max="1029" width="5" style="104" bestFit="1" customWidth="1"/>
    <col min="1030" max="1030" width="9.33203125" style="104" bestFit="1" customWidth="1"/>
    <col min="1031" max="1031" width="5" style="104" bestFit="1" customWidth="1"/>
    <col min="1032" max="1032" width="9.33203125" style="104" bestFit="1" customWidth="1"/>
    <col min="1033" max="1033" width="5" style="104" bestFit="1" customWidth="1"/>
    <col min="1034" max="1034" width="9.33203125" style="104" bestFit="1" customWidth="1"/>
    <col min="1035" max="1035" width="5" style="104" bestFit="1" customWidth="1"/>
    <col min="1036" max="1036" width="9.33203125" style="104" bestFit="1" customWidth="1"/>
    <col min="1037" max="1037" width="9.1640625" style="104" bestFit="1" customWidth="1"/>
    <col min="1038" max="1280" width="8.9140625" style="104"/>
    <col min="1281" max="1281" width="1.08203125" style="104" customWidth="1"/>
    <col min="1282" max="1282" width="13.1640625" style="104" customWidth="1"/>
    <col min="1283" max="1283" width="5" style="104" bestFit="1" customWidth="1"/>
    <col min="1284" max="1284" width="7.83203125" style="104" bestFit="1" customWidth="1"/>
    <col min="1285" max="1285" width="5" style="104" bestFit="1" customWidth="1"/>
    <col min="1286" max="1286" width="9.33203125" style="104" bestFit="1" customWidth="1"/>
    <col min="1287" max="1287" width="5" style="104" bestFit="1" customWidth="1"/>
    <col min="1288" max="1288" width="9.33203125" style="104" bestFit="1" customWidth="1"/>
    <col min="1289" max="1289" width="5" style="104" bestFit="1" customWidth="1"/>
    <col min="1290" max="1290" width="9.33203125" style="104" bestFit="1" customWidth="1"/>
    <col min="1291" max="1291" width="5" style="104" bestFit="1" customWidth="1"/>
    <col min="1292" max="1292" width="9.33203125" style="104" bestFit="1" customWidth="1"/>
    <col min="1293" max="1293" width="9.1640625" style="104" bestFit="1" customWidth="1"/>
    <col min="1294" max="1536" width="8.9140625" style="104"/>
    <col min="1537" max="1537" width="1.08203125" style="104" customWidth="1"/>
    <col min="1538" max="1538" width="13.1640625" style="104" customWidth="1"/>
    <col min="1539" max="1539" width="5" style="104" bestFit="1" customWidth="1"/>
    <col min="1540" max="1540" width="7.83203125" style="104" bestFit="1" customWidth="1"/>
    <col min="1541" max="1541" width="5" style="104" bestFit="1" customWidth="1"/>
    <col min="1542" max="1542" width="9.33203125" style="104" bestFit="1" customWidth="1"/>
    <col min="1543" max="1543" width="5" style="104" bestFit="1" customWidth="1"/>
    <col min="1544" max="1544" width="9.33203125" style="104" bestFit="1" customWidth="1"/>
    <col min="1545" max="1545" width="5" style="104" bestFit="1" customWidth="1"/>
    <col min="1546" max="1546" width="9.33203125" style="104" bestFit="1" customWidth="1"/>
    <col min="1547" max="1547" width="5" style="104" bestFit="1" customWidth="1"/>
    <col min="1548" max="1548" width="9.33203125" style="104" bestFit="1" customWidth="1"/>
    <col min="1549" max="1549" width="9.1640625" style="104" bestFit="1" customWidth="1"/>
    <col min="1550" max="1792" width="8.9140625" style="104"/>
    <col min="1793" max="1793" width="1.08203125" style="104" customWidth="1"/>
    <col min="1794" max="1794" width="13.1640625" style="104" customWidth="1"/>
    <col min="1795" max="1795" width="5" style="104" bestFit="1" customWidth="1"/>
    <col min="1796" max="1796" width="7.83203125" style="104" bestFit="1" customWidth="1"/>
    <col min="1797" max="1797" width="5" style="104" bestFit="1" customWidth="1"/>
    <col min="1798" max="1798" width="9.33203125" style="104" bestFit="1" customWidth="1"/>
    <col min="1799" max="1799" width="5" style="104" bestFit="1" customWidth="1"/>
    <col min="1800" max="1800" width="9.33203125" style="104" bestFit="1" customWidth="1"/>
    <col min="1801" max="1801" width="5" style="104" bestFit="1" customWidth="1"/>
    <col min="1802" max="1802" width="9.33203125" style="104" bestFit="1" customWidth="1"/>
    <col min="1803" max="1803" width="5" style="104" bestFit="1" customWidth="1"/>
    <col min="1804" max="1804" width="9.33203125" style="104" bestFit="1" customWidth="1"/>
    <col min="1805" max="1805" width="9.1640625" style="104" bestFit="1" customWidth="1"/>
    <col min="1806" max="2048" width="8.9140625" style="104"/>
    <col min="2049" max="2049" width="1.08203125" style="104" customWidth="1"/>
    <col min="2050" max="2050" width="13.1640625" style="104" customWidth="1"/>
    <col min="2051" max="2051" width="5" style="104" bestFit="1" customWidth="1"/>
    <col min="2052" max="2052" width="7.83203125" style="104" bestFit="1" customWidth="1"/>
    <col min="2053" max="2053" width="5" style="104" bestFit="1" customWidth="1"/>
    <col min="2054" max="2054" width="9.33203125" style="104" bestFit="1" customWidth="1"/>
    <col min="2055" max="2055" width="5" style="104" bestFit="1" customWidth="1"/>
    <col min="2056" max="2056" width="9.33203125" style="104" bestFit="1" customWidth="1"/>
    <col min="2057" max="2057" width="5" style="104" bestFit="1" customWidth="1"/>
    <col min="2058" max="2058" width="9.33203125" style="104" bestFit="1" customWidth="1"/>
    <col min="2059" max="2059" width="5" style="104" bestFit="1" customWidth="1"/>
    <col min="2060" max="2060" width="9.33203125" style="104" bestFit="1" customWidth="1"/>
    <col min="2061" max="2061" width="9.1640625" style="104" bestFit="1" customWidth="1"/>
    <col min="2062" max="2304" width="8.9140625" style="104"/>
    <col min="2305" max="2305" width="1.08203125" style="104" customWidth="1"/>
    <col min="2306" max="2306" width="13.1640625" style="104" customWidth="1"/>
    <col min="2307" max="2307" width="5" style="104" bestFit="1" customWidth="1"/>
    <col min="2308" max="2308" width="7.83203125" style="104" bestFit="1" customWidth="1"/>
    <col min="2309" max="2309" width="5" style="104" bestFit="1" customWidth="1"/>
    <col min="2310" max="2310" width="9.33203125" style="104" bestFit="1" customWidth="1"/>
    <col min="2311" max="2311" width="5" style="104" bestFit="1" customWidth="1"/>
    <col min="2312" max="2312" width="9.33203125" style="104" bestFit="1" customWidth="1"/>
    <col min="2313" max="2313" width="5" style="104" bestFit="1" customWidth="1"/>
    <col min="2314" max="2314" width="9.33203125" style="104" bestFit="1" customWidth="1"/>
    <col min="2315" max="2315" width="5" style="104" bestFit="1" customWidth="1"/>
    <col min="2316" max="2316" width="9.33203125" style="104" bestFit="1" customWidth="1"/>
    <col min="2317" max="2317" width="9.1640625" style="104" bestFit="1" customWidth="1"/>
    <col min="2318" max="2560" width="8.9140625" style="104"/>
    <col min="2561" max="2561" width="1.08203125" style="104" customWidth="1"/>
    <col min="2562" max="2562" width="13.1640625" style="104" customWidth="1"/>
    <col min="2563" max="2563" width="5" style="104" bestFit="1" customWidth="1"/>
    <col min="2564" max="2564" width="7.83203125" style="104" bestFit="1" customWidth="1"/>
    <col min="2565" max="2565" width="5" style="104" bestFit="1" customWidth="1"/>
    <col min="2566" max="2566" width="9.33203125" style="104" bestFit="1" customWidth="1"/>
    <col min="2567" max="2567" width="5" style="104" bestFit="1" customWidth="1"/>
    <col min="2568" max="2568" width="9.33203125" style="104" bestFit="1" customWidth="1"/>
    <col min="2569" max="2569" width="5" style="104" bestFit="1" customWidth="1"/>
    <col min="2570" max="2570" width="9.33203125" style="104" bestFit="1" customWidth="1"/>
    <col min="2571" max="2571" width="5" style="104" bestFit="1" customWidth="1"/>
    <col min="2572" max="2572" width="9.33203125" style="104" bestFit="1" customWidth="1"/>
    <col min="2573" max="2573" width="9.1640625" style="104" bestFit="1" customWidth="1"/>
    <col min="2574" max="2816" width="8.9140625" style="104"/>
    <col min="2817" max="2817" width="1.08203125" style="104" customWidth="1"/>
    <col min="2818" max="2818" width="13.1640625" style="104" customWidth="1"/>
    <col min="2819" max="2819" width="5" style="104" bestFit="1" customWidth="1"/>
    <col min="2820" max="2820" width="7.83203125" style="104" bestFit="1" customWidth="1"/>
    <col min="2821" max="2821" width="5" style="104" bestFit="1" customWidth="1"/>
    <col min="2822" max="2822" width="9.33203125" style="104" bestFit="1" customWidth="1"/>
    <col min="2823" max="2823" width="5" style="104" bestFit="1" customWidth="1"/>
    <col min="2824" max="2824" width="9.33203125" style="104" bestFit="1" customWidth="1"/>
    <col min="2825" max="2825" width="5" style="104" bestFit="1" customWidth="1"/>
    <col min="2826" max="2826" width="9.33203125" style="104" bestFit="1" customWidth="1"/>
    <col min="2827" max="2827" width="5" style="104" bestFit="1" customWidth="1"/>
    <col min="2828" max="2828" width="9.33203125" style="104" bestFit="1" customWidth="1"/>
    <col min="2829" max="2829" width="9.1640625" style="104" bestFit="1" customWidth="1"/>
    <col min="2830" max="3072" width="8.9140625" style="104"/>
    <col min="3073" max="3073" width="1.08203125" style="104" customWidth="1"/>
    <col min="3074" max="3074" width="13.1640625" style="104" customWidth="1"/>
    <col min="3075" max="3075" width="5" style="104" bestFit="1" customWidth="1"/>
    <col min="3076" max="3076" width="7.83203125" style="104" bestFit="1" customWidth="1"/>
    <col min="3077" max="3077" width="5" style="104" bestFit="1" customWidth="1"/>
    <col min="3078" max="3078" width="9.33203125" style="104" bestFit="1" customWidth="1"/>
    <col min="3079" max="3079" width="5" style="104" bestFit="1" customWidth="1"/>
    <col min="3080" max="3080" width="9.33203125" style="104" bestFit="1" customWidth="1"/>
    <col min="3081" max="3081" width="5" style="104" bestFit="1" customWidth="1"/>
    <col min="3082" max="3082" width="9.33203125" style="104" bestFit="1" customWidth="1"/>
    <col min="3083" max="3083" width="5" style="104" bestFit="1" customWidth="1"/>
    <col min="3084" max="3084" width="9.33203125" style="104" bestFit="1" customWidth="1"/>
    <col min="3085" max="3085" width="9.1640625" style="104" bestFit="1" customWidth="1"/>
    <col min="3086" max="3328" width="8.9140625" style="104"/>
    <col min="3329" max="3329" width="1.08203125" style="104" customWidth="1"/>
    <col min="3330" max="3330" width="13.1640625" style="104" customWidth="1"/>
    <col min="3331" max="3331" width="5" style="104" bestFit="1" customWidth="1"/>
    <col min="3332" max="3332" width="7.83203125" style="104" bestFit="1" customWidth="1"/>
    <col min="3333" max="3333" width="5" style="104" bestFit="1" customWidth="1"/>
    <col min="3334" max="3334" width="9.33203125" style="104" bestFit="1" customWidth="1"/>
    <col min="3335" max="3335" width="5" style="104" bestFit="1" customWidth="1"/>
    <col min="3336" max="3336" width="9.33203125" style="104" bestFit="1" customWidth="1"/>
    <col min="3337" max="3337" width="5" style="104" bestFit="1" customWidth="1"/>
    <col min="3338" max="3338" width="9.33203125" style="104" bestFit="1" customWidth="1"/>
    <col min="3339" max="3339" width="5" style="104" bestFit="1" customWidth="1"/>
    <col min="3340" max="3340" width="9.33203125" style="104" bestFit="1" customWidth="1"/>
    <col min="3341" max="3341" width="9.1640625" style="104" bestFit="1" customWidth="1"/>
    <col min="3342" max="3584" width="8.9140625" style="104"/>
    <col min="3585" max="3585" width="1.08203125" style="104" customWidth="1"/>
    <col min="3586" max="3586" width="13.1640625" style="104" customWidth="1"/>
    <col min="3587" max="3587" width="5" style="104" bestFit="1" customWidth="1"/>
    <col min="3588" max="3588" width="7.83203125" style="104" bestFit="1" customWidth="1"/>
    <col min="3589" max="3589" width="5" style="104" bestFit="1" customWidth="1"/>
    <col min="3590" max="3590" width="9.33203125" style="104" bestFit="1" customWidth="1"/>
    <col min="3591" max="3591" width="5" style="104" bestFit="1" customWidth="1"/>
    <col min="3592" max="3592" width="9.33203125" style="104" bestFit="1" customWidth="1"/>
    <col min="3593" max="3593" width="5" style="104" bestFit="1" customWidth="1"/>
    <col min="3594" max="3594" width="9.33203125" style="104" bestFit="1" customWidth="1"/>
    <col min="3595" max="3595" width="5" style="104" bestFit="1" customWidth="1"/>
    <col min="3596" max="3596" width="9.33203125" style="104" bestFit="1" customWidth="1"/>
    <col min="3597" max="3597" width="9.1640625" style="104" bestFit="1" customWidth="1"/>
    <col min="3598" max="3840" width="8.9140625" style="104"/>
    <col min="3841" max="3841" width="1.08203125" style="104" customWidth="1"/>
    <col min="3842" max="3842" width="13.1640625" style="104" customWidth="1"/>
    <col min="3843" max="3843" width="5" style="104" bestFit="1" customWidth="1"/>
    <col min="3844" max="3844" width="7.83203125" style="104" bestFit="1" customWidth="1"/>
    <col min="3845" max="3845" width="5" style="104" bestFit="1" customWidth="1"/>
    <col min="3846" max="3846" width="9.33203125" style="104" bestFit="1" customWidth="1"/>
    <col min="3847" max="3847" width="5" style="104" bestFit="1" customWidth="1"/>
    <col min="3848" max="3848" width="9.33203125" style="104" bestFit="1" customWidth="1"/>
    <col min="3849" max="3849" width="5" style="104" bestFit="1" customWidth="1"/>
    <col min="3850" max="3850" width="9.33203125" style="104" bestFit="1" customWidth="1"/>
    <col min="3851" max="3851" width="5" style="104" bestFit="1" customWidth="1"/>
    <col min="3852" max="3852" width="9.33203125" style="104" bestFit="1" customWidth="1"/>
    <col min="3853" max="3853" width="9.1640625" style="104" bestFit="1" customWidth="1"/>
    <col min="3854" max="4096" width="8.9140625" style="104"/>
    <col min="4097" max="4097" width="1.08203125" style="104" customWidth="1"/>
    <col min="4098" max="4098" width="13.1640625" style="104" customWidth="1"/>
    <col min="4099" max="4099" width="5" style="104" bestFit="1" customWidth="1"/>
    <col min="4100" max="4100" width="7.83203125" style="104" bestFit="1" customWidth="1"/>
    <col min="4101" max="4101" width="5" style="104" bestFit="1" customWidth="1"/>
    <col min="4102" max="4102" width="9.33203125" style="104" bestFit="1" customWidth="1"/>
    <col min="4103" max="4103" width="5" style="104" bestFit="1" customWidth="1"/>
    <col min="4104" max="4104" width="9.33203125" style="104" bestFit="1" customWidth="1"/>
    <col min="4105" max="4105" width="5" style="104" bestFit="1" customWidth="1"/>
    <col min="4106" max="4106" width="9.33203125" style="104" bestFit="1" customWidth="1"/>
    <col min="4107" max="4107" width="5" style="104" bestFit="1" customWidth="1"/>
    <col min="4108" max="4108" width="9.33203125" style="104" bestFit="1" customWidth="1"/>
    <col min="4109" max="4109" width="9.1640625" style="104" bestFit="1" customWidth="1"/>
    <col min="4110" max="4352" width="8.9140625" style="104"/>
    <col min="4353" max="4353" width="1.08203125" style="104" customWidth="1"/>
    <col min="4354" max="4354" width="13.1640625" style="104" customWidth="1"/>
    <col min="4355" max="4355" width="5" style="104" bestFit="1" customWidth="1"/>
    <col min="4356" max="4356" width="7.83203125" style="104" bestFit="1" customWidth="1"/>
    <col min="4357" max="4357" width="5" style="104" bestFit="1" customWidth="1"/>
    <col min="4358" max="4358" width="9.33203125" style="104" bestFit="1" customWidth="1"/>
    <col min="4359" max="4359" width="5" style="104" bestFit="1" customWidth="1"/>
    <col min="4360" max="4360" width="9.33203125" style="104" bestFit="1" customWidth="1"/>
    <col min="4361" max="4361" width="5" style="104" bestFit="1" customWidth="1"/>
    <col min="4362" max="4362" width="9.33203125" style="104" bestFit="1" customWidth="1"/>
    <col min="4363" max="4363" width="5" style="104" bestFit="1" customWidth="1"/>
    <col min="4364" max="4364" width="9.33203125" style="104" bestFit="1" customWidth="1"/>
    <col min="4365" max="4365" width="9.1640625" style="104" bestFit="1" customWidth="1"/>
    <col min="4366" max="4608" width="8.9140625" style="104"/>
    <col min="4609" max="4609" width="1.08203125" style="104" customWidth="1"/>
    <col min="4610" max="4610" width="13.1640625" style="104" customWidth="1"/>
    <col min="4611" max="4611" width="5" style="104" bestFit="1" customWidth="1"/>
    <col min="4612" max="4612" width="7.83203125" style="104" bestFit="1" customWidth="1"/>
    <col min="4613" max="4613" width="5" style="104" bestFit="1" customWidth="1"/>
    <col min="4614" max="4614" width="9.33203125" style="104" bestFit="1" customWidth="1"/>
    <col min="4615" max="4615" width="5" style="104" bestFit="1" customWidth="1"/>
    <col min="4616" max="4616" width="9.33203125" style="104" bestFit="1" customWidth="1"/>
    <col min="4617" max="4617" width="5" style="104" bestFit="1" customWidth="1"/>
    <col min="4618" max="4618" width="9.33203125" style="104" bestFit="1" customWidth="1"/>
    <col min="4619" max="4619" width="5" style="104" bestFit="1" customWidth="1"/>
    <col min="4620" max="4620" width="9.33203125" style="104" bestFit="1" customWidth="1"/>
    <col min="4621" max="4621" width="9.1640625" style="104" bestFit="1" customWidth="1"/>
    <col min="4622" max="4864" width="8.9140625" style="104"/>
    <col min="4865" max="4865" width="1.08203125" style="104" customWidth="1"/>
    <col min="4866" max="4866" width="13.1640625" style="104" customWidth="1"/>
    <col min="4867" max="4867" width="5" style="104" bestFit="1" customWidth="1"/>
    <col min="4868" max="4868" width="7.83203125" style="104" bestFit="1" customWidth="1"/>
    <col min="4869" max="4869" width="5" style="104" bestFit="1" customWidth="1"/>
    <col min="4870" max="4870" width="9.33203125" style="104" bestFit="1" customWidth="1"/>
    <col min="4871" max="4871" width="5" style="104" bestFit="1" customWidth="1"/>
    <col min="4872" max="4872" width="9.33203125" style="104" bestFit="1" customWidth="1"/>
    <col min="4873" max="4873" width="5" style="104" bestFit="1" customWidth="1"/>
    <col min="4874" max="4874" width="9.33203125" style="104" bestFit="1" customWidth="1"/>
    <col min="4875" max="4875" width="5" style="104" bestFit="1" customWidth="1"/>
    <col min="4876" max="4876" width="9.33203125" style="104" bestFit="1" customWidth="1"/>
    <col min="4877" max="4877" width="9.1640625" style="104" bestFit="1" customWidth="1"/>
    <col min="4878" max="5120" width="8.9140625" style="104"/>
    <col min="5121" max="5121" width="1.08203125" style="104" customWidth="1"/>
    <col min="5122" max="5122" width="13.1640625" style="104" customWidth="1"/>
    <col min="5123" max="5123" width="5" style="104" bestFit="1" customWidth="1"/>
    <col min="5124" max="5124" width="7.83203125" style="104" bestFit="1" customWidth="1"/>
    <col min="5125" max="5125" width="5" style="104" bestFit="1" customWidth="1"/>
    <col min="5126" max="5126" width="9.33203125" style="104" bestFit="1" customWidth="1"/>
    <col min="5127" max="5127" width="5" style="104" bestFit="1" customWidth="1"/>
    <col min="5128" max="5128" width="9.33203125" style="104" bestFit="1" customWidth="1"/>
    <col min="5129" max="5129" width="5" style="104" bestFit="1" customWidth="1"/>
    <col min="5130" max="5130" width="9.33203125" style="104" bestFit="1" customWidth="1"/>
    <col min="5131" max="5131" width="5" style="104" bestFit="1" customWidth="1"/>
    <col min="5132" max="5132" width="9.33203125" style="104" bestFit="1" customWidth="1"/>
    <col min="5133" max="5133" width="9.1640625" style="104" bestFit="1" customWidth="1"/>
    <col min="5134" max="5376" width="8.9140625" style="104"/>
    <col min="5377" max="5377" width="1.08203125" style="104" customWidth="1"/>
    <col min="5378" max="5378" width="13.1640625" style="104" customWidth="1"/>
    <col min="5379" max="5379" width="5" style="104" bestFit="1" customWidth="1"/>
    <col min="5380" max="5380" width="7.83203125" style="104" bestFit="1" customWidth="1"/>
    <col min="5381" max="5381" width="5" style="104" bestFit="1" customWidth="1"/>
    <col min="5382" max="5382" width="9.33203125" style="104" bestFit="1" customWidth="1"/>
    <col min="5383" max="5383" width="5" style="104" bestFit="1" customWidth="1"/>
    <col min="5384" max="5384" width="9.33203125" style="104" bestFit="1" customWidth="1"/>
    <col min="5385" max="5385" width="5" style="104" bestFit="1" customWidth="1"/>
    <col min="5386" max="5386" width="9.33203125" style="104" bestFit="1" customWidth="1"/>
    <col min="5387" max="5387" width="5" style="104" bestFit="1" customWidth="1"/>
    <col min="5388" max="5388" width="9.33203125" style="104" bestFit="1" customWidth="1"/>
    <col min="5389" max="5389" width="9.1640625" style="104" bestFit="1" customWidth="1"/>
    <col min="5390" max="5632" width="8.9140625" style="104"/>
    <col min="5633" max="5633" width="1.08203125" style="104" customWidth="1"/>
    <col min="5634" max="5634" width="13.1640625" style="104" customWidth="1"/>
    <col min="5635" max="5635" width="5" style="104" bestFit="1" customWidth="1"/>
    <col min="5636" max="5636" width="7.83203125" style="104" bestFit="1" customWidth="1"/>
    <col min="5637" max="5637" width="5" style="104" bestFit="1" customWidth="1"/>
    <col min="5638" max="5638" width="9.33203125" style="104" bestFit="1" customWidth="1"/>
    <col min="5639" max="5639" width="5" style="104" bestFit="1" customWidth="1"/>
    <col min="5640" max="5640" width="9.33203125" style="104" bestFit="1" customWidth="1"/>
    <col min="5641" max="5641" width="5" style="104" bestFit="1" customWidth="1"/>
    <col min="5642" max="5642" width="9.33203125" style="104" bestFit="1" customWidth="1"/>
    <col min="5643" max="5643" width="5" style="104" bestFit="1" customWidth="1"/>
    <col min="5644" max="5644" width="9.33203125" style="104" bestFit="1" customWidth="1"/>
    <col min="5645" max="5645" width="9.1640625" style="104" bestFit="1" customWidth="1"/>
    <col min="5646" max="5888" width="8.9140625" style="104"/>
    <col min="5889" max="5889" width="1.08203125" style="104" customWidth="1"/>
    <col min="5890" max="5890" width="13.1640625" style="104" customWidth="1"/>
    <col min="5891" max="5891" width="5" style="104" bestFit="1" customWidth="1"/>
    <col min="5892" max="5892" width="7.83203125" style="104" bestFit="1" customWidth="1"/>
    <col min="5893" max="5893" width="5" style="104" bestFit="1" customWidth="1"/>
    <col min="5894" max="5894" width="9.33203125" style="104" bestFit="1" customWidth="1"/>
    <col min="5895" max="5895" width="5" style="104" bestFit="1" customWidth="1"/>
    <col min="5896" max="5896" width="9.33203125" style="104" bestFit="1" customWidth="1"/>
    <col min="5897" max="5897" width="5" style="104" bestFit="1" customWidth="1"/>
    <col min="5898" max="5898" width="9.33203125" style="104" bestFit="1" customWidth="1"/>
    <col min="5899" max="5899" width="5" style="104" bestFit="1" customWidth="1"/>
    <col min="5900" max="5900" width="9.33203125" style="104" bestFit="1" customWidth="1"/>
    <col min="5901" max="5901" width="9.1640625" style="104" bestFit="1" customWidth="1"/>
    <col min="5902" max="6144" width="8.9140625" style="104"/>
    <col min="6145" max="6145" width="1.08203125" style="104" customWidth="1"/>
    <col min="6146" max="6146" width="13.1640625" style="104" customWidth="1"/>
    <col min="6147" max="6147" width="5" style="104" bestFit="1" customWidth="1"/>
    <col min="6148" max="6148" width="7.83203125" style="104" bestFit="1" customWidth="1"/>
    <col min="6149" max="6149" width="5" style="104" bestFit="1" customWidth="1"/>
    <col min="6150" max="6150" width="9.33203125" style="104" bestFit="1" customWidth="1"/>
    <col min="6151" max="6151" width="5" style="104" bestFit="1" customWidth="1"/>
    <col min="6152" max="6152" width="9.33203125" style="104" bestFit="1" customWidth="1"/>
    <col min="6153" max="6153" width="5" style="104" bestFit="1" customWidth="1"/>
    <col min="6154" max="6154" width="9.33203125" style="104" bestFit="1" customWidth="1"/>
    <col min="6155" max="6155" width="5" style="104" bestFit="1" customWidth="1"/>
    <col min="6156" max="6156" width="9.33203125" style="104" bestFit="1" customWidth="1"/>
    <col min="6157" max="6157" width="9.1640625" style="104" bestFit="1" customWidth="1"/>
    <col min="6158" max="6400" width="8.9140625" style="104"/>
    <col min="6401" max="6401" width="1.08203125" style="104" customWidth="1"/>
    <col min="6402" max="6402" width="13.1640625" style="104" customWidth="1"/>
    <col min="6403" max="6403" width="5" style="104" bestFit="1" customWidth="1"/>
    <col min="6404" max="6404" width="7.83203125" style="104" bestFit="1" customWidth="1"/>
    <col min="6405" max="6405" width="5" style="104" bestFit="1" customWidth="1"/>
    <col min="6406" max="6406" width="9.33203125" style="104" bestFit="1" customWidth="1"/>
    <col min="6407" max="6407" width="5" style="104" bestFit="1" customWidth="1"/>
    <col min="6408" max="6408" width="9.33203125" style="104" bestFit="1" customWidth="1"/>
    <col min="6409" max="6409" width="5" style="104" bestFit="1" customWidth="1"/>
    <col min="6410" max="6410" width="9.33203125" style="104" bestFit="1" customWidth="1"/>
    <col min="6411" max="6411" width="5" style="104" bestFit="1" customWidth="1"/>
    <col min="6412" max="6412" width="9.33203125" style="104" bestFit="1" customWidth="1"/>
    <col min="6413" max="6413" width="9.1640625" style="104" bestFit="1" customWidth="1"/>
    <col min="6414" max="6656" width="8.9140625" style="104"/>
    <col min="6657" max="6657" width="1.08203125" style="104" customWidth="1"/>
    <col min="6658" max="6658" width="13.1640625" style="104" customWidth="1"/>
    <col min="6659" max="6659" width="5" style="104" bestFit="1" customWidth="1"/>
    <col min="6660" max="6660" width="7.83203125" style="104" bestFit="1" customWidth="1"/>
    <col min="6661" max="6661" width="5" style="104" bestFit="1" customWidth="1"/>
    <col min="6662" max="6662" width="9.33203125" style="104" bestFit="1" customWidth="1"/>
    <col min="6663" max="6663" width="5" style="104" bestFit="1" customWidth="1"/>
    <col min="6664" max="6664" width="9.33203125" style="104" bestFit="1" customWidth="1"/>
    <col min="6665" max="6665" width="5" style="104" bestFit="1" customWidth="1"/>
    <col min="6666" max="6666" width="9.33203125" style="104" bestFit="1" customWidth="1"/>
    <col min="6667" max="6667" width="5" style="104" bestFit="1" customWidth="1"/>
    <col min="6668" max="6668" width="9.33203125" style="104" bestFit="1" customWidth="1"/>
    <col min="6669" max="6669" width="9.1640625" style="104" bestFit="1" customWidth="1"/>
    <col min="6670" max="6912" width="8.9140625" style="104"/>
    <col min="6913" max="6913" width="1.08203125" style="104" customWidth="1"/>
    <col min="6914" max="6914" width="13.1640625" style="104" customWidth="1"/>
    <col min="6915" max="6915" width="5" style="104" bestFit="1" customWidth="1"/>
    <col min="6916" max="6916" width="7.83203125" style="104" bestFit="1" customWidth="1"/>
    <col min="6917" max="6917" width="5" style="104" bestFit="1" customWidth="1"/>
    <col min="6918" max="6918" width="9.33203125" style="104" bestFit="1" customWidth="1"/>
    <col min="6919" max="6919" width="5" style="104" bestFit="1" customWidth="1"/>
    <col min="6920" max="6920" width="9.33203125" style="104" bestFit="1" customWidth="1"/>
    <col min="6921" max="6921" width="5" style="104" bestFit="1" customWidth="1"/>
    <col min="6922" max="6922" width="9.33203125" style="104" bestFit="1" customWidth="1"/>
    <col min="6923" max="6923" width="5" style="104" bestFit="1" customWidth="1"/>
    <col min="6924" max="6924" width="9.33203125" style="104" bestFit="1" customWidth="1"/>
    <col min="6925" max="6925" width="9.1640625" style="104" bestFit="1" customWidth="1"/>
    <col min="6926" max="7168" width="8.9140625" style="104"/>
    <col min="7169" max="7169" width="1.08203125" style="104" customWidth="1"/>
    <col min="7170" max="7170" width="13.1640625" style="104" customWidth="1"/>
    <col min="7171" max="7171" width="5" style="104" bestFit="1" customWidth="1"/>
    <col min="7172" max="7172" width="7.83203125" style="104" bestFit="1" customWidth="1"/>
    <col min="7173" max="7173" width="5" style="104" bestFit="1" customWidth="1"/>
    <col min="7174" max="7174" width="9.33203125" style="104" bestFit="1" customWidth="1"/>
    <col min="7175" max="7175" width="5" style="104" bestFit="1" customWidth="1"/>
    <col min="7176" max="7176" width="9.33203125" style="104" bestFit="1" customWidth="1"/>
    <col min="7177" max="7177" width="5" style="104" bestFit="1" customWidth="1"/>
    <col min="7178" max="7178" width="9.33203125" style="104" bestFit="1" customWidth="1"/>
    <col min="7179" max="7179" width="5" style="104" bestFit="1" customWidth="1"/>
    <col min="7180" max="7180" width="9.33203125" style="104" bestFit="1" customWidth="1"/>
    <col min="7181" max="7181" width="9.1640625" style="104" bestFit="1" customWidth="1"/>
    <col min="7182" max="7424" width="8.9140625" style="104"/>
    <col min="7425" max="7425" width="1.08203125" style="104" customWidth="1"/>
    <col min="7426" max="7426" width="13.1640625" style="104" customWidth="1"/>
    <col min="7427" max="7427" width="5" style="104" bestFit="1" customWidth="1"/>
    <col min="7428" max="7428" width="7.83203125" style="104" bestFit="1" customWidth="1"/>
    <col min="7429" max="7429" width="5" style="104" bestFit="1" customWidth="1"/>
    <col min="7430" max="7430" width="9.33203125" style="104" bestFit="1" customWidth="1"/>
    <col min="7431" max="7431" width="5" style="104" bestFit="1" customWidth="1"/>
    <col min="7432" max="7432" width="9.33203125" style="104" bestFit="1" customWidth="1"/>
    <col min="7433" max="7433" width="5" style="104" bestFit="1" customWidth="1"/>
    <col min="7434" max="7434" width="9.33203125" style="104" bestFit="1" customWidth="1"/>
    <col min="7435" max="7435" width="5" style="104" bestFit="1" customWidth="1"/>
    <col min="7436" max="7436" width="9.33203125" style="104" bestFit="1" customWidth="1"/>
    <col min="7437" max="7437" width="9.1640625" style="104" bestFit="1" customWidth="1"/>
    <col min="7438" max="7680" width="8.9140625" style="104"/>
    <col min="7681" max="7681" width="1.08203125" style="104" customWidth="1"/>
    <col min="7682" max="7682" width="13.1640625" style="104" customWidth="1"/>
    <col min="7683" max="7683" width="5" style="104" bestFit="1" customWidth="1"/>
    <col min="7684" max="7684" width="7.83203125" style="104" bestFit="1" customWidth="1"/>
    <col min="7685" max="7685" width="5" style="104" bestFit="1" customWidth="1"/>
    <col min="7686" max="7686" width="9.33203125" style="104" bestFit="1" customWidth="1"/>
    <col min="7687" max="7687" width="5" style="104" bestFit="1" customWidth="1"/>
    <col min="7688" max="7688" width="9.33203125" style="104" bestFit="1" customWidth="1"/>
    <col min="7689" max="7689" width="5" style="104" bestFit="1" customWidth="1"/>
    <col min="7690" max="7690" width="9.33203125" style="104" bestFit="1" customWidth="1"/>
    <col min="7691" max="7691" width="5" style="104" bestFit="1" customWidth="1"/>
    <col min="7692" max="7692" width="9.33203125" style="104" bestFit="1" customWidth="1"/>
    <col min="7693" max="7693" width="9.1640625" style="104" bestFit="1" customWidth="1"/>
    <col min="7694" max="7936" width="8.9140625" style="104"/>
    <col min="7937" max="7937" width="1.08203125" style="104" customWidth="1"/>
    <col min="7938" max="7938" width="13.1640625" style="104" customWidth="1"/>
    <col min="7939" max="7939" width="5" style="104" bestFit="1" customWidth="1"/>
    <col min="7940" max="7940" width="7.83203125" style="104" bestFit="1" customWidth="1"/>
    <col min="7941" max="7941" width="5" style="104" bestFit="1" customWidth="1"/>
    <col min="7942" max="7942" width="9.33203125" style="104" bestFit="1" customWidth="1"/>
    <col min="7943" max="7943" width="5" style="104" bestFit="1" customWidth="1"/>
    <col min="7944" max="7944" width="9.33203125" style="104" bestFit="1" customWidth="1"/>
    <col min="7945" max="7945" width="5" style="104" bestFit="1" customWidth="1"/>
    <col min="7946" max="7946" width="9.33203125" style="104" bestFit="1" customWidth="1"/>
    <col min="7947" max="7947" width="5" style="104" bestFit="1" customWidth="1"/>
    <col min="7948" max="7948" width="9.33203125" style="104" bestFit="1" customWidth="1"/>
    <col min="7949" max="7949" width="9.1640625" style="104" bestFit="1" customWidth="1"/>
    <col min="7950" max="8192" width="8.9140625" style="104"/>
    <col min="8193" max="8193" width="1.08203125" style="104" customWidth="1"/>
    <col min="8194" max="8194" width="13.1640625" style="104" customWidth="1"/>
    <col min="8195" max="8195" width="5" style="104" bestFit="1" customWidth="1"/>
    <col min="8196" max="8196" width="7.83203125" style="104" bestFit="1" customWidth="1"/>
    <col min="8197" max="8197" width="5" style="104" bestFit="1" customWidth="1"/>
    <col min="8198" max="8198" width="9.33203125" style="104" bestFit="1" customWidth="1"/>
    <col min="8199" max="8199" width="5" style="104" bestFit="1" customWidth="1"/>
    <col min="8200" max="8200" width="9.33203125" style="104" bestFit="1" customWidth="1"/>
    <col min="8201" max="8201" width="5" style="104" bestFit="1" customWidth="1"/>
    <col min="8202" max="8202" width="9.33203125" style="104" bestFit="1" customWidth="1"/>
    <col min="8203" max="8203" width="5" style="104" bestFit="1" customWidth="1"/>
    <col min="8204" max="8204" width="9.33203125" style="104" bestFit="1" customWidth="1"/>
    <col min="8205" max="8205" width="9.1640625" style="104" bestFit="1" customWidth="1"/>
    <col min="8206" max="8448" width="8.9140625" style="104"/>
    <col min="8449" max="8449" width="1.08203125" style="104" customWidth="1"/>
    <col min="8450" max="8450" width="13.1640625" style="104" customWidth="1"/>
    <col min="8451" max="8451" width="5" style="104" bestFit="1" customWidth="1"/>
    <col min="8452" max="8452" width="7.83203125" style="104" bestFit="1" customWidth="1"/>
    <col min="8453" max="8453" width="5" style="104" bestFit="1" customWidth="1"/>
    <col min="8454" max="8454" width="9.33203125" style="104" bestFit="1" customWidth="1"/>
    <col min="8455" max="8455" width="5" style="104" bestFit="1" customWidth="1"/>
    <col min="8456" max="8456" width="9.33203125" style="104" bestFit="1" customWidth="1"/>
    <col min="8457" max="8457" width="5" style="104" bestFit="1" customWidth="1"/>
    <col min="8458" max="8458" width="9.33203125" style="104" bestFit="1" customWidth="1"/>
    <col min="8459" max="8459" width="5" style="104" bestFit="1" customWidth="1"/>
    <col min="8460" max="8460" width="9.33203125" style="104" bestFit="1" customWidth="1"/>
    <col min="8461" max="8461" width="9.1640625" style="104" bestFit="1" customWidth="1"/>
    <col min="8462" max="8704" width="8.9140625" style="104"/>
    <col min="8705" max="8705" width="1.08203125" style="104" customWidth="1"/>
    <col min="8706" max="8706" width="13.1640625" style="104" customWidth="1"/>
    <col min="8707" max="8707" width="5" style="104" bestFit="1" customWidth="1"/>
    <col min="8708" max="8708" width="7.83203125" style="104" bestFit="1" customWidth="1"/>
    <col min="8709" max="8709" width="5" style="104" bestFit="1" customWidth="1"/>
    <col min="8710" max="8710" width="9.33203125" style="104" bestFit="1" customWidth="1"/>
    <col min="8711" max="8711" width="5" style="104" bestFit="1" customWidth="1"/>
    <col min="8712" max="8712" width="9.33203125" style="104" bestFit="1" customWidth="1"/>
    <col min="8713" max="8713" width="5" style="104" bestFit="1" customWidth="1"/>
    <col min="8714" max="8714" width="9.33203125" style="104" bestFit="1" customWidth="1"/>
    <col min="8715" max="8715" width="5" style="104" bestFit="1" customWidth="1"/>
    <col min="8716" max="8716" width="9.33203125" style="104" bestFit="1" customWidth="1"/>
    <col min="8717" max="8717" width="9.1640625" style="104" bestFit="1" customWidth="1"/>
    <col min="8718" max="8960" width="8.9140625" style="104"/>
    <col min="8961" max="8961" width="1.08203125" style="104" customWidth="1"/>
    <col min="8962" max="8962" width="13.1640625" style="104" customWidth="1"/>
    <col min="8963" max="8963" width="5" style="104" bestFit="1" customWidth="1"/>
    <col min="8964" max="8964" width="7.83203125" style="104" bestFit="1" customWidth="1"/>
    <col min="8965" max="8965" width="5" style="104" bestFit="1" customWidth="1"/>
    <col min="8966" max="8966" width="9.33203125" style="104" bestFit="1" customWidth="1"/>
    <col min="8967" max="8967" width="5" style="104" bestFit="1" customWidth="1"/>
    <col min="8968" max="8968" width="9.33203125" style="104" bestFit="1" customWidth="1"/>
    <col min="8969" max="8969" width="5" style="104" bestFit="1" customWidth="1"/>
    <col min="8970" max="8970" width="9.33203125" style="104" bestFit="1" customWidth="1"/>
    <col min="8971" max="8971" width="5" style="104" bestFit="1" customWidth="1"/>
    <col min="8972" max="8972" width="9.33203125" style="104" bestFit="1" customWidth="1"/>
    <col min="8973" max="8973" width="9.1640625" style="104" bestFit="1" customWidth="1"/>
    <col min="8974" max="9216" width="8.9140625" style="104"/>
    <col min="9217" max="9217" width="1.08203125" style="104" customWidth="1"/>
    <col min="9218" max="9218" width="13.1640625" style="104" customWidth="1"/>
    <col min="9219" max="9219" width="5" style="104" bestFit="1" customWidth="1"/>
    <col min="9220" max="9220" width="7.83203125" style="104" bestFit="1" customWidth="1"/>
    <col min="9221" max="9221" width="5" style="104" bestFit="1" customWidth="1"/>
    <col min="9222" max="9222" width="9.33203125" style="104" bestFit="1" customWidth="1"/>
    <col min="9223" max="9223" width="5" style="104" bestFit="1" customWidth="1"/>
    <col min="9224" max="9224" width="9.33203125" style="104" bestFit="1" customWidth="1"/>
    <col min="9225" max="9225" width="5" style="104" bestFit="1" customWidth="1"/>
    <col min="9226" max="9226" width="9.33203125" style="104" bestFit="1" customWidth="1"/>
    <col min="9227" max="9227" width="5" style="104" bestFit="1" customWidth="1"/>
    <col min="9228" max="9228" width="9.33203125" style="104" bestFit="1" customWidth="1"/>
    <col min="9229" max="9229" width="9.1640625" style="104" bestFit="1" customWidth="1"/>
    <col min="9230" max="9472" width="8.9140625" style="104"/>
    <col min="9473" max="9473" width="1.08203125" style="104" customWidth="1"/>
    <col min="9474" max="9474" width="13.1640625" style="104" customWidth="1"/>
    <col min="9475" max="9475" width="5" style="104" bestFit="1" customWidth="1"/>
    <col min="9476" max="9476" width="7.83203125" style="104" bestFit="1" customWidth="1"/>
    <col min="9477" max="9477" width="5" style="104" bestFit="1" customWidth="1"/>
    <col min="9478" max="9478" width="9.33203125" style="104" bestFit="1" customWidth="1"/>
    <col min="9479" max="9479" width="5" style="104" bestFit="1" customWidth="1"/>
    <col min="9480" max="9480" width="9.33203125" style="104" bestFit="1" customWidth="1"/>
    <col min="9481" max="9481" width="5" style="104" bestFit="1" customWidth="1"/>
    <col min="9482" max="9482" width="9.33203125" style="104" bestFit="1" customWidth="1"/>
    <col min="9483" max="9483" width="5" style="104" bestFit="1" customWidth="1"/>
    <col min="9484" max="9484" width="9.33203125" style="104" bestFit="1" customWidth="1"/>
    <col min="9485" max="9485" width="9.1640625" style="104" bestFit="1" customWidth="1"/>
    <col min="9486" max="9728" width="8.9140625" style="104"/>
    <col min="9729" max="9729" width="1.08203125" style="104" customWidth="1"/>
    <col min="9730" max="9730" width="13.1640625" style="104" customWidth="1"/>
    <col min="9731" max="9731" width="5" style="104" bestFit="1" customWidth="1"/>
    <col min="9732" max="9732" width="7.83203125" style="104" bestFit="1" customWidth="1"/>
    <col min="9733" max="9733" width="5" style="104" bestFit="1" customWidth="1"/>
    <col min="9734" max="9734" width="9.33203125" style="104" bestFit="1" customWidth="1"/>
    <col min="9735" max="9735" width="5" style="104" bestFit="1" customWidth="1"/>
    <col min="9736" max="9736" width="9.33203125" style="104" bestFit="1" customWidth="1"/>
    <col min="9737" max="9737" width="5" style="104" bestFit="1" customWidth="1"/>
    <col min="9738" max="9738" width="9.33203125" style="104" bestFit="1" customWidth="1"/>
    <col min="9739" max="9739" width="5" style="104" bestFit="1" customWidth="1"/>
    <col min="9740" max="9740" width="9.33203125" style="104" bestFit="1" customWidth="1"/>
    <col min="9741" max="9741" width="9.1640625" style="104" bestFit="1" customWidth="1"/>
    <col min="9742" max="9984" width="8.9140625" style="104"/>
    <col min="9985" max="9985" width="1.08203125" style="104" customWidth="1"/>
    <col min="9986" max="9986" width="13.1640625" style="104" customWidth="1"/>
    <col min="9987" max="9987" width="5" style="104" bestFit="1" customWidth="1"/>
    <col min="9988" max="9988" width="7.83203125" style="104" bestFit="1" customWidth="1"/>
    <col min="9989" max="9989" width="5" style="104" bestFit="1" customWidth="1"/>
    <col min="9990" max="9990" width="9.33203125" style="104" bestFit="1" customWidth="1"/>
    <col min="9991" max="9991" width="5" style="104" bestFit="1" customWidth="1"/>
    <col min="9992" max="9992" width="9.33203125" style="104" bestFit="1" customWidth="1"/>
    <col min="9993" max="9993" width="5" style="104" bestFit="1" customWidth="1"/>
    <col min="9994" max="9994" width="9.33203125" style="104" bestFit="1" customWidth="1"/>
    <col min="9995" max="9995" width="5" style="104" bestFit="1" customWidth="1"/>
    <col min="9996" max="9996" width="9.33203125" style="104" bestFit="1" customWidth="1"/>
    <col min="9997" max="9997" width="9.1640625" style="104" bestFit="1" customWidth="1"/>
    <col min="9998" max="10240" width="8.9140625" style="104"/>
    <col min="10241" max="10241" width="1.08203125" style="104" customWidth="1"/>
    <col min="10242" max="10242" width="13.1640625" style="104" customWidth="1"/>
    <col min="10243" max="10243" width="5" style="104" bestFit="1" customWidth="1"/>
    <col min="10244" max="10244" width="7.83203125" style="104" bestFit="1" customWidth="1"/>
    <col min="10245" max="10245" width="5" style="104" bestFit="1" customWidth="1"/>
    <col min="10246" max="10246" width="9.33203125" style="104" bestFit="1" customWidth="1"/>
    <col min="10247" max="10247" width="5" style="104" bestFit="1" customWidth="1"/>
    <col min="10248" max="10248" width="9.33203125" style="104" bestFit="1" customWidth="1"/>
    <col min="10249" max="10249" width="5" style="104" bestFit="1" customWidth="1"/>
    <col min="10250" max="10250" width="9.33203125" style="104" bestFit="1" customWidth="1"/>
    <col min="10251" max="10251" width="5" style="104" bestFit="1" customWidth="1"/>
    <col min="10252" max="10252" width="9.33203125" style="104" bestFit="1" customWidth="1"/>
    <col min="10253" max="10253" width="9.1640625" style="104" bestFit="1" customWidth="1"/>
    <col min="10254" max="10496" width="8.9140625" style="104"/>
    <col min="10497" max="10497" width="1.08203125" style="104" customWidth="1"/>
    <col min="10498" max="10498" width="13.1640625" style="104" customWidth="1"/>
    <col min="10499" max="10499" width="5" style="104" bestFit="1" customWidth="1"/>
    <col min="10500" max="10500" width="7.83203125" style="104" bestFit="1" customWidth="1"/>
    <col min="10501" max="10501" width="5" style="104" bestFit="1" customWidth="1"/>
    <col min="10502" max="10502" width="9.33203125" style="104" bestFit="1" customWidth="1"/>
    <col min="10503" max="10503" width="5" style="104" bestFit="1" customWidth="1"/>
    <col min="10504" max="10504" width="9.33203125" style="104" bestFit="1" customWidth="1"/>
    <col min="10505" max="10505" width="5" style="104" bestFit="1" customWidth="1"/>
    <col min="10506" max="10506" width="9.33203125" style="104" bestFit="1" customWidth="1"/>
    <col min="10507" max="10507" width="5" style="104" bestFit="1" customWidth="1"/>
    <col min="10508" max="10508" width="9.33203125" style="104" bestFit="1" customWidth="1"/>
    <col min="10509" max="10509" width="9.1640625" style="104" bestFit="1" customWidth="1"/>
    <col min="10510" max="10752" width="8.9140625" style="104"/>
    <col min="10753" max="10753" width="1.08203125" style="104" customWidth="1"/>
    <col min="10754" max="10754" width="13.1640625" style="104" customWidth="1"/>
    <col min="10755" max="10755" width="5" style="104" bestFit="1" customWidth="1"/>
    <col min="10756" max="10756" width="7.83203125" style="104" bestFit="1" customWidth="1"/>
    <col min="10757" max="10757" width="5" style="104" bestFit="1" customWidth="1"/>
    <col min="10758" max="10758" width="9.33203125" style="104" bestFit="1" customWidth="1"/>
    <col min="10759" max="10759" width="5" style="104" bestFit="1" customWidth="1"/>
    <col min="10760" max="10760" width="9.33203125" style="104" bestFit="1" customWidth="1"/>
    <col min="10761" max="10761" width="5" style="104" bestFit="1" customWidth="1"/>
    <col min="10762" max="10762" width="9.33203125" style="104" bestFit="1" customWidth="1"/>
    <col min="10763" max="10763" width="5" style="104" bestFit="1" customWidth="1"/>
    <col min="10764" max="10764" width="9.33203125" style="104" bestFit="1" customWidth="1"/>
    <col min="10765" max="10765" width="9.1640625" style="104" bestFit="1" customWidth="1"/>
    <col min="10766" max="11008" width="8.9140625" style="104"/>
    <col min="11009" max="11009" width="1.08203125" style="104" customWidth="1"/>
    <col min="11010" max="11010" width="13.1640625" style="104" customWidth="1"/>
    <col min="11011" max="11011" width="5" style="104" bestFit="1" customWidth="1"/>
    <col min="11012" max="11012" width="7.83203125" style="104" bestFit="1" customWidth="1"/>
    <col min="11013" max="11013" width="5" style="104" bestFit="1" customWidth="1"/>
    <col min="11014" max="11014" width="9.33203125" style="104" bestFit="1" customWidth="1"/>
    <col min="11015" max="11015" width="5" style="104" bestFit="1" customWidth="1"/>
    <col min="11016" max="11016" width="9.33203125" style="104" bestFit="1" customWidth="1"/>
    <col min="11017" max="11017" width="5" style="104" bestFit="1" customWidth="1"/>
    <col min="11018" max="11018" width="9.33203125" style="104" bestFit="1" customWidth="1"/>
    <col min="11019" max="11019" width="5" style="104" bestFit="1" customWidth="1"/>
    <col min="11020" max="11020" width="9.33203125" style="104" bestFit="1" customWidth="1"/>
    <col min="11021" max="11021" width="9.1640625" style="104" bestFit="1" customWidth="1"/>
    <col min="11022" max="11264" width="8.9140625" style="104"/>
    <col min="11265" max="11265" width="1.08203125" style="104" customWidth="1"/>
    <col min="11266" max="11266" width="13.1640625" style="104" customWidth="1"/>
    <col min="11267" max="11267" width="5" style="104" bestFit="1" customWidth="1"/>
    <col min="11268" max="11268" width="7.83203125" style="104" bestFit="1" customWidth="1"/>
    <col min="11269" max="11269" width="5" style="104" bestFit="1" customWidth="1"/>
    <col min="11270" max="11270" width="9.33203125" style="104" bestFit="1" customWidth="1"/>
    <col min="11271" max="11271" width="5" style="104" bestFit="1" customWidth="1"/>
    <col min="11272" max="11272" width="9.33203125" style="104" bestFit="1" customWidth="1"/>
    <col min="11273" max="11273" width="5" style="104" bestFit="1" customWidth="1"/>
    <col min="11274" max="11274" width="9.33203125" style="104" bestFit="1" customWidth="1"/>
    <col min="11275" max="11275" width="5" style="104" bestFit="1" customWidth="1"/>
    <col min="11276" max="11276" width="9.33203125" style="104" bestFit="1" customWidth="1"/>
    <col min="11277" max="11277" width="9.1640625" style="104" bestFit="1" customWidth="1"/>
    <col min="11278" max="11520" width="8.9140625" style="104"/>
    <col min="11521" max="11521" width="1.08203125" style="104" customWidth="1"/>
    <col min="11522" max="11522" width="13.1640625" style="104" customWidth="1"/>
    <col min="11523" max="11523" width="5" style="104" bestFit="1" customWidth="1"/>
    <col min="11524" max="11524" width="7.83203125" style="104" bestFit="1" customWidth="1"/>
    <col min="11525" max="11525" width="5" style="104" bestFit="1" customWidth="1"/>
    <col min="11526" max="11526" width="9.33203125" style="104" bestFit="1" customWidth="1"/>
    <col min="11527" max="11527" width="5" style="104" bestFit="1" customWidth="1"/>
    <col min="11528" max="11528" width="9.33203125" style="104" bestFit="1" customWidth="1"/>
    <col min="11529" max="11529" width="5" style="104" bestFit="1" customWidth="1"/>
    <col min="11530" max="11530" width="9.33203125" style="104" bestFit="1" customWidth="1"/>
    <col min="11531" max="11531" width="5" style="104" bestFit="1" customWidth="1"/>
    <col min="11532" max="11532" width="9.33203125" style="104" bestFit="1" customWidth="1"/>
    <col min="11533" max="11533" width="9.1640625" style="104" bestFit="1" customWidth="1"/>
    <col min="11534" max="11776" width="8.9140625" style="104"/>
    <col min="11777" max="11777" width="1.08203125" style="104" customWidth="1"/>
    <col min="11778" max="11778" width="13.1640625" style="104" customWidth="1"/>
    <col min="11779" max="11779" width="5" style="104" bestFit="1" customWidth="1"/>
    <col min="11780" max="11780" width="7.83203125" style="104" bestFit="1" customWidth="1"/>
    <col min="11781" max="11781" width="5" style="104" bestFit="1" customWidth="1"/>
    <col min="11782" max="11782" width="9.33203125" style="104" bestFit="1" customWidth="1"/>
    <col min="11783" max="11783" width="5" style="104" bestFit="1" customWidth="1"/>
    <col min="11784" max="11784" width="9.33203125" style="104" bestFit="1" customWidth="1"/>
    <col min="11785" max="11785" width="5" style="104" bestFit="1" customWidth="1"/>
    <col min="11786" max="11786" width="9.33203125" style="104" bestFit="1" customWidth="1"/>
    <col min="11787" max="11787" width="5" style="104" bestFit="1" customWidth="1"/>
    <col min="11788" max="11788" width="9.33203125" style="104" bestFit="1" customWidth="1"/>
    <col min="11789" max="11789" width="9.1640625" style="104" bestFit="1" customWidth="1"/>
    <col min="11790" max="12032" width="8.9140625" style="104"/>
    <col min="12033" max="12033" width="1.08203125" style="104" customWidth="1"/>
    <col min="12034" max="12034" width="13.1640625" style="104" customWidth="1"/>
    <col min="12035" max="12035" width="5" style="104" bestFit="1" customWidth="1"/>
    <col min="12036" max="12036" width="7.83203125" style="104" bestFit="1" customWidth="1"/>
    <col min="12037" max="12037" width="5" style="104" bestFit="1" customWidth="1"/>
    <col min="12038" max="12038" width="9.33203125" style="104" bestFit="1" customWidth="1"/>
    <col min="12039" max="12039" width="5" style="104" bestFit="1" customWidth="1"/>
    <col min="12040" max="12040" width="9.33203125" style="104" bestFit="1" customWidth="1"/>
    <col min="12041" max="12041" width="5" style="104" bestFit="1" customWidth="1"/>
    <col min="12042" max="12042" width="9.33203125" style="104" bestFit="1" customWidth="1"/>
    <col min="12043" max="12043" width="5" style="104" bestFit="1" customWidth="1"/>
    <col min="12044" max="12044" width="9.33203125" style="104" bestFit="1" customWidth="1"/>
    <col min="12045" max="12045" width="9.1640625" style="104" bestFit="1" customWidth="1"/>
    <col min="12046" max="12288" width="8.9140625" style="104"/>
    <col min="12289" max="12289" width="1.08203125" style="104" customWidth="1"/>
    <col min="12290" max="12290" width="13.1640625" style="104" customWidth="1"/>
    <col min="12291" max="12291" width="5" style="104" bestFit="1" customWidth="1"/>
    <col min="12292" max="12292" width="7.83203125" style="104" bestFit="1" customWidth="1"/>
    <col min="12293" max="12293" width="5" style="104" bestFit="1" customWidth="1"/>
    <col min="12294" max="12294" width="9.33203125" style="104" bestFit="1" customWidth="1"/>
    <col min="12295" max="12295" width="5" style="104" bestFit="1" customWidth="1"/>
    <col min="12296" max="12296" width="9.33203125" style="104" bestFit="1" customWidth="1"/>
    <col min="12297" max="12297" width="5" style="104" bestFit="1" customWidth="1"/>
    <col min="12298" max="12298" width="9.33203125" style="104" bestFit="1" customWidth="1"/>
    <col min="12299" max="12299" width="5" style="104" bestFit="1" customWidth="1"/>
    <col min="12300" max="12300" width="9.33203125" style="104" bestFit="1" customWidth="1"/>
    <col min="12301" max="12301" width="9.1640625" style="104" bestFit="1" customWidth="1"/>
    <col min="12302" max="12544" width="8.9140625" style="104"/>
    <col min="12545" max="12545" width="1.08203125" style="104" customWidth="1"/>
    <col min="12546" max="12546" width="13.1640625" style="104" customWidth="1"/>
    <col min="12547" max="12547" width="5" style="104" bestFit="1" customWidth="1"/>
    <col min="12548" max="12548" width="7.83203125" style="104" bestFit="1" customWidth="1"/>
    <col min="12549" max="12549" width="5" style="104" bestFit="1" customWidth="1"/>
    <col min="12550" max="12550" width="9.33203125" style="104" bestFit="1" customWidth="1"/>
    <col min="12551" max="12551" width="5" style="104" bestFit="1" customWidth="1"/>
    <col min="12552" max="12552" width="9.33203125" style="104" bestFit="1" customWidth="1"/>
    <col min="12553" max="12553" width="5" style="104" bestFit="1" customWidth="1"/>
    <col min="12554" max="12554" width="9.33203125" style="104" bestFit="1" customWidth="1"/>
    <col min="12555" max="12555" width="5" style="104" bestFit="1" customWidth="1"/>
    <col min="12556" max="12556" width="9.33203125" style="104" bestFit="1" customWidth="1"/>
    <col min="12557" max="12557" width="9.1640625" style="104" bestFit="1" customWidth="1"/>
    <col min="12558" max="12800" width="8.9140625" style="104"/>
    <col min="12801" max="12801" width="1.08203125" style="104" customWidth="1"/>
    <col min="12802" max="12802" width="13.1640625" style="104" customWidth="1"/>
    <col min="12803" max="12803" width="5" style="104" bestFit="1" customWidth="1"/>
    <col min="12804" max="12804" width="7.83203125" style="104" bestFit="1" customWidth="1"/>
    <col min="12805" max="12805" width="5" style="104" bestFit="1" customWidth="1"/>
    <col min="12806" max="12806" width="9.33203125" style="104" bestFit="1" customWidth="1"/>
    <col min="12807" max="12807" width="5" style="104" bestFit="1" customWidth="1"/>
    <col min="12808" max="12808" width="9.33203125" style="104" bestFit="1" customWidth="1"/>
    <col min="12809" max="12809" width="5" style="104" bestFit="1" customWidth="1"/>
    <col min="12810" max="12810" width="9.33203125" style="104" bestFit="1" customWidth="1"/>
    <col min="12811" max="12811" width="5" style="104" bestFit="1" customWidth="1"/>
    <col min="12812" max="12812" width="9.33203125" style="104" bestFit="1" customWidth="1"/>
    <col min="12813" max="12813" width="9.1640625" style="104" bestFit="1" customWidth="1"/>
    <col min="12814" max="13056" width="8.9140625" style="104"/>
    <col min="13057" max="13057" width="1.08203125" style="104" customWidth="1"/>
    <col min="13058" max="13058" width="13.1640625" style="104" customWidth="1"/>
    <col min="13059" max="13059" width="5" style="104" bestFit="1" customWidth="1"/>
    <col min="13060" max="13060" width="7.83203125" style="104" bestFit="1" customWidth="1"/>
    <col min="13061" max="13061" width="5" style="104" bestFit="1" customWidth="1"/>
    <col min="13062" max="13062" width="9.33203125" style="104" bestFit="1" customWidth="1"/>
    <col min="13063" max="13063" width="5" style="104" bestFit="1" customWidth="1"/>
    <col min="13064" max="13064" width="9.33203125" style="104" bestFit="1" customWidth="1"/>
    <col min="13065" max="13065" width="5" style="104" bestFit="1" customWidth="1"/>
    <col min="13066" max="13066" width="9.33203125" style="104" bestFit="1" customWidth="1"/>
    <col min="13067" max="13067" width="5" style="104" bestFit="1" customWidth="1"/>
    <col min="13068" max="13068" width="9.33203125" style="104" bestFit="1" customWidth="1"/>
    <col min="13069" max="13069" width="9.1640625" style="104" bestFit="1" customWidth="1"/>
    <col min="13070" max="13312" width="8.9140625" style="104"/>
    <col min="13313" max="13313" width="1.08203125" style="104" customWidth="1"/>
    <col min="13314" max="13314" width="13.1640625" style="104" customWidth="1"/>
    <col min="13315" max="13315" width="5" style="104" bestFit="1" customWidth="1"/>
    <col min="13316" max="13316" width="7.83203125" style="104" bestFit="1" customWidth="1"/>
    <col min="13317" max="13317" width="5" style="104" bestFit="1" customWidth="1"/>
    <col min="13318" max="13318" width="9.33203125" style="104" bestFit="1" customWidth="1"/>
    <col min="13319" max="13319" width="5" style="104" bestFit="1" customWidth="1"/>
    <col min="13320" max="13320" width="9.33203125" style="104" bestFit="1" customWidth="1"/>
    <col min="13321" max="13321" width="5" style="104" bestFit="1" customWidth="1"/>
    <col min="13322" max="13322" width="9.33203125" style="104" bestFit="1" customWidth="1"/>
    <col min="13323" max="13323" width="5" style="104" bestFit="1" customWidth="1"/>
    <col min="13324" max="13324" width="9.33203125" style="104" bestFit="1" customWidth="1"/>
    <col min="13325" max="13325" width="9.1640625" style="104" bestFit="1" customWidth="1"/>
    <col min="13326" max="13568" width="8.9140625" style="104"/>
    <col min="13569" max="13569" width="1.08203125" style="104" customWidth="1"/>
    <col min="13570" max="13570" width="13.1640625" style="104" customWidth="1"/>
    <col min="13571" max="13571" width="5" style="104" bestFit="1" customWidth="1"/>
    <col min="13572" max="13572" width="7.83203125" style="104" bestFit="1" customWidth="1"/>
    <col min="13573" max="13573" width="5" style="104" bestFit="1" customWidth="1"/>
    <col min="13574" max="13574" width="9.33203125" style="104" bestFit="1" customWidth="1"/>
    <col min="13575" max="13575" width="5" style="104" bestFit="1" customWidth="1"/>
    <col min="13576" max="13576" width="9.33203125" style="104" bestFit="1" customWidth="1"/>
    <col min="13577" max="13577" width="5" style="104" bestFit="1" customWidth="1"/>
    <col min="13578" max="13578" width="9.33203125" style="104" bestFit="1" customWidth="1"/>
    <col min="13579" max="13579" width="5" style="104" bestFit="1" customWidth="1"/>
    <col min="13580" max="13580" width="9.33203125" style="104" bestFit="1" customWidth="1"/>
    <col min="13581" max="13581" width="9.1640625" style="104" bestFit="1" customWidth="1"/>
    <col min="13582" max="13824" width="8.9140625" style="104"/>
    <col min="13825" max="13825" width="1.08203125" style="104" customWidth="1"/>
    <col min="13826" max="13826" width="13.1640625" style="104" customWidth="1"/>
    <col min="13827" max="13827" width="5" style="104" bestFit="1" customWidth="1"/>
    <col min="13828" max="13828" width="7.83203125" style="104" bestFit="1" customWidth="1"/>
    <col min="13829" max="13829" width="5" style="104" bestFit="1" customWidth="1"/>
    <col min="13830" max="13830" width="9.33203125" style="104" bestFit="1" customWidth="1"/>
    <col min="13831" max="13831" width="5" style="104" bestFit="1" customWidth="1"/>
    <col min="13832" max="13832" width="9.33203125" style="104" bestFit="1" customWidth="1"/>
    <col min="13833" max="13833" width="5" style="104" bestFit="1" customWidth="1"/>
    <col min="13834" max="13834" width="9.33203125" style="104" bestFit="1" customWidth="1"/>
    <col min="13835" max="13835" width="5" style="104" bestFit="1" customWidth="1"/>
    <col min="13836" max="13836" width="9.33203125" style="104" bestFit="1" customWidth="1"/>
    <col min="13837" max="13837" width="9.1640625" style="104" bestFit="1" customWidth="1"/>
    <col min="13838" max="14080" width="8.9140625" style="104"/>
    <col min="14081" max="14081" width="1.08203125" style="104" customWidth="1"/>
    <col min="14082" max="14082" width="13.1640625" style="104" customWidth="1"/>
    <col min="14083" max="14083" width="5" style="104" bestFit="1" customWidth="1"/>
    <col min="14084" max="14084" width="7.83203125" style="104" bestFit="1" customWidth="1"/>
    <col min="14085" max="14085" width="5" style="104" bestFit="1" customWidth="1"/>
    <col min="14086" max="14086" width="9.33203125" style="104" bestFit="1" customWidth="1"/>
    <col min="14087" max="14087" width="5" style="104" bestFit="1" customWidth="1"/>
    <col min="14088" max="14088" width="9.33203125" style="104" bestFit="1" customWidth="1"/>
    <col min="14089" max="14089" width="5" style="104" bestFit="1" customWidth="1"/>
    <col min="14090" max="14090" width="9.33203125" style="104" bestFit="1" customWidth="1"/>
    <col min="14091" max="14091" width="5" style="104" bestFit="1" customWidth="1"/>
    <col min="14092" max="14092" width="9.33203125" style="104" bestFit="1" customWidth="1"/>
    <col min="14093" max="14093" width="9.1640625" style="104" bestFit="1" customWidth="1"/>
    <col min="14094" max="14336" width="8.9140625" style="104"/>
    <col min="14337" max="14337" width="1.08203125" style="104" customWidth="1"/>
    <col min="14338" max="14338" width="13.1640625" style="104" customWidth="1"/>
    <col min="14339" max="14339" width="5" style="104" bestFit="1" customWidth="1"/>
    <col min="14340" max="14340" width="7.83203125" style="104" bestFit="1" customWidth="1"/>
    <col min="14341" max="14341" width="5" style="104" bestFit="1" customWidth="1"/>
    <col min="14342" max="14342" width="9.33203125" style="104" bestFit="1" customWidth="1"/>
    <col min="14343" max="14343" width="5" style="104" bestFit="1" customWidth="1"/>
    <col min="14344" max="14344" width="9.33203125" style="104" bestFit="1" customWidth="1"/>
    <col min="14345" max="14345" width="5" style="104" bestFit="1" customWidth="1"/>
    <col min="14346" max="14346" width="9.33203125" style="104" bestFit="1" customWidth="1"/>
    <col min="14347" max="14347" width="5" style="104" bestFit="1" customWidth="1"/>
    <col min="14348" max="14348" width="9.33203125" style="104" bestFit="1" customWidth="1"/>
    <col min="14349" max="14349" width="9.1640625" style="104" bestFit="1" customWidth="1"/>
    <col min="14350" max="14592" width="8.9140625" style="104"/>
    <col min="14593" max="14593" width="1.08203125" style="104" customWidth="1"/>
    <col min="14594" max="14594" width="13.1640625" style="104" customWidth="1"/>
    <col min="14595" max="14595" width="5" style="104" bestFit="1" customWidth="1"/>
    <col min="14596" max="14596" width="7.83203125" style="104" bestFit="1" customWidth="1"/>
    <col min="14597" max="14597" width="5" style="104" bestFit="1" customWidth="1"/>
    <col min="14598" max="14598" width="9.33203125" style="104" bestFit="1" customWidth="1"/>
    <col min="14599" max="14599" width="5" style="104" bestFit="1" customWidth="1"/>
    <col min="14600" max="14600" width="9.33203125" style="104" bestFit="1" customWidth="1"/>
    <col min="14601" max="14601" width="5" style="104" bestFit="1" customWidth="1"/>
    <col min="14602" max="14602" width="9.33203125" style="104" bestFit="1" customWidth="1"/>
    <col min="14603" max="14603" width="5" style="104" bestFit="1" customWidth="1"/>
    <col min="14604" max="14604" width="9.33203125" style="104" bestFit="1" customWidth="1"/>
    <col min="14605" max="14605" width="9.1640625" style="104" bestFit="1" customWidth="1"/>
    <col min="14606" max="14848" width="8.9140625" style="104"/>
    <col min="14849" max="14849" width="1.08203125" style="104" customWidth="1"/>
    <col min="14850" max="14850" width="13.1640625" style="104" customWidth="1"/>
    <col min="14851" max="14851" width="5" style="104" bestFit="1" customWidth="1"/>
    <col min="14852" max="14852" width="7.83203125" style="104" bestFit="1" customWidth="1"/>
    <col min="14853" max="14853" width="5" style="104" bestFit="1" customWidth="1"/>
    <col min="14854" max="14854" width="9.33203125" style="104" bestFit="1" customWidth="1"/>
    <col min="14855" max="14855" width="5" style="104" bestFit="1" customWidth="1"/>
    <col min="14856" max="14856" width="9.33203125" style="104" bestFit="1" customWidth="1"/>
    <col min="14857" max="14857" width="5" style="104" bestFit="1" customWidth="1"/>
    <col min="14858" max="14858" width="9.33203125" style="104" bestFit="1" customWidth="1"/>
    <col min="14859" max="14859" width="5" style="104" bestFit="1" customWidth="1"/>
    <col min="14860" max="14860" width="9.33203125" style="104" bestFit="1" customWidth="1"/>
    <col min="14861" max="14861" width="9.1640625" style="104" bestFit="1" customWidth="1"/>
    <col min="14862" max="15104" width="8.9140625" style="104"/>
    <col min="15105" max="15105" width="1.08203125" style="104" customWidth="1"/>
    <col min="15106" max="15106" width="13.1640625" style="104" customWidth="1"/>
    <col min="15107" max="15107" width="5" style="104" bestFit="1" customWidth="1"/>
    <col min="15108" max="15108" width="7.83203125" style="104" bestFit="1" customWidth="1"/>
    <col min="15109" max="15109" width="5" style="104" bestFit="1" customWidth="1"/>
    <col min="15110" max="15110" width="9.33203125" style="104" bestFit="1" customWidth="1"/>
    <col min="15111" max="15111" width="5" style="104" bestFit="1" customWidth="1"/>
    <col min="15112" max="15112" width="9.33203125" style="104" bestFit="1" customWidth="1"/>
    <col min="15113" max="15113" width="5" style="104" bestFit="1" customWidth="1"/>
    <col min="15114" max="15114" width="9.33203125" style="104" bestFit="1" customWidth="1"/>
    <col min="15115" max="15115" width="5" style="104" bestFit="1" customWidth="1"/>
    <col min="15116" max="15116" width="9.33203125" style="104" bestFit="1" customWidth="1"/>
    <col min="15117" max="15117" width="9.1640625" style="104" bestFit="1" customWidth="1"/>
    <col min="15118" max="15360" width="8.9140625" style="104"/>
    <col min="15361" max="15361" width="1.08203125" style="104" customWidth="1"/>
    <col min="15362" max="15362" width="13.1640625" style="104" customWidth="1"/>
    <col min="15363" max="15363" width="5" style="104" bestFit="1" customWidth="1"/>
    <col min="15364" max="15364" width="7.83203125" style="104" bestFit="1" customWidth="1"/>
    <col min="15365" max="15365" width="5" style="104" bestFit="1" customWidth="1"/>
    <col min="15366" max="15366" width="9.33203125" style="104" bestFit="1" customWidth="1"/>
    <col min="15367" max="15367" width="5" style="104" bestFit="1" customWidth="1"/>
    <col min="15368" max="15368" width="9.33203125" style="104" bestFit="1" customWidth="1"/>
    <col min="15369" max="15369" width="5" style="104" bestFit="1" customWidth="1"/>
    <col min="15370" max="15370" width="9.33203125" style="104" bestFit="1" customWidth="1"/>
    <col min="15371" max="15371" width="5" style="104" bestFit="1" customWidth="1"/>
    <col min="15372" max="15372" width="9.33203125" style="104" bestFit="1" customWidth="1"/>
    <col min="15373" max="15373" width="9.1640625" style="104" bestFit="1" customWidth="1"/>
    <col min="15374" max="15616" width="8.9140625" style="104"/>
    <col min="15617" max="15617" width="1.08203125" style="104" customWidth="1"/>
    <col min="15618" max="15618" width="13.1640625" style="104" customWidth="1"/>
    <col min="15619" max="15619" width="5" style="104" bestFit="1" customWidth="1"/>
    <col min="15620" max="15620" width="7.83203125" style="104" bestFit="1" customWidth="1"/>
    <col min="15621" max="15621" width="5" style="104" bestFit="1" customWidth="1"/>
    <col min="15622" max="15622" width="9.33203125" style="104" bestFit="1" customWidth="1"/>
    <col min="15623" max="15623" width="5" style="104" bestFit="1" customWidth="1"/>
    <col min="15624" max="15624" width="9.33203125" style="104" bestFit="1" customWidth="1"/>
    <col min="15625" max="15625" width="5" style="104" bestFit="1" customWidth="1"/>
    <col min="15626" max="15626" width="9.33203125" style="104" bestFit="1" customWidth="1"/>
    <col min="15627" max="15627" width="5" style="104" bestFit="1" customWidth="1"/>
    <col min="15628" max="15628" width="9.33203125" style="104" bestFit="1" customWidth="1"/>
    <col min="15629" max="15629" width="9.1640625" style="104" bestFit="1" customWidth="1"/>
    <col min="15630" max="15872" width="8.9140625" style="104"/>
    <col min="15873" max="15873" width="1.08203125" style="104" customWidth="1"/>
    <col min="15874" max="15874" width="13.1640625" style="104" customWidth="1"/>
    <col min="15875" max="15875" width="5" style="104" bestFit="1" customWidth="1"/>
    <col min="15876" max="15876" width="7.83203125" style="104" bestFit="1" customWidth="1"/>
    <col min="15877" max="15877" width="5" style="104" bestFit="1" customWidth="1"/>
    <col min="15878" max="15878" width="9.33203125" style="104" bestFit="1" customWidth="1"/>
    <col min="15879" max="15879" width="5" style="104" bestFit="1" customWidth="1"/>
    <col min="15880" max="15880" width="9.33203125" style="104" bestFit="1" customWidth="1"/>
    <col min="15881" max="15881" width="5" style="104" bestFit="1" customWidth="1"/>
    <col min="15882" max="15882" width="9.33203125" style="104" bestFit="1" customWidth="1"/>
    <col min="15883" max="15883" width="5" style="104" bestFit="1" customWidth="1"/>
    <col min="15884" max="15884" width="9.33203125" style="104" bestFit="1" customWidth="1"/>
    <col min="15885" max="15885" width="9.1640625" style="104" bestFit="1" customWidth="1"/>
    <col min="15886" max="16128" width="8.9140625" style="104"/>
    <col min="16129" max="16129" width="1.08203125" style="104" customWidth="1"/>
    <col min="16130" max="16130" width="13.1640625" style="104" customWidth="1"/>
    <col min="16131" max="16131" width="5" style="104" bestFit="1" customWidth="1"/>
    <col min="16132" max="16132" width="7.83203125" style="104" bestFit="1" customWidth="1"/>
    <col min="16133" max="16133" width="5" style="104" bestFit="1" customWidth="1"/>
    <col min="16134" max="16134" width="9.33203125" style="104" bestFit="1" customWidth="1"/>
    <col min="16135" max="16135" width="5" style="104" bestFit="1" customWidth="1"/>
    <col min="16136" max="16136" width="9.33203125" style="104" bestFit="1" customWidth="1"/>
    <col min="16137" max="16137" width="5" style="104" bestFit="1" customWidth="1"/>
    <col min="16138" max="16138" width="9.33203125" style="104" bestFit="1" customWidth="1"/>
    <col min="16139" max="16139" width="5" style="104" bestFit="1" customWidth="1"/>
    <col min="16140" max="16140" width="9.33203125" style="104" bestFit="1" customWidth="1"/>
    <col min="16141" max="16141" width="9.1640625" style="104" bestFit="1" customWidth="1"/>
    <col min="16142" max="16384" width="8.9140625" style="104"/>
  </cols>
  <sheetData>
    <row r="1" spans="2:13" ht="7.5" customHeight="1" thickBot="1"/>
    <row r="2" spans="2:13" ht="22.5" customHeight="1" thickBot="1">
      <c r="B2" s="679" t="s">
        <v>204</v>
      </c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1"/>
    </row>
    <row r="3" spans="2:13">
      <c r="B3" s="671" t="s">
        <v>203</v>
      </c>
      <c r="C3" s="673" t="s">
        <v>188</v>
      </c>
      <c r="D3" s="674"/>
      <c r="E3" s="675" t="s">
        <v>187</v>
      </c>
      <c r="F3" s="676"/>
      <c r="G3" s="673" t="s">
        <v>185</v>
      </c>
      <c r="H3" s="674"/>
      <c r="I3" s="675" t="s">
        <v>202</v>
      </c>
      <c r="J3" s="676"/>
      <c r="K3" s="673" t="s">
        <v>201</v>
      </c>
      <c r="L3" s="674"/>
      <c r="M3" s="677" t="s">
        <v>181</v>
      </c>
    </row>
    <row r="4" spans="2:13" ht="14.5" thickBot="1">
      <c r="B4" s="672"/>
      <c r="C4" s="126" t="s">
        <v>180</v>
      </c>
      <c r="D4" s="125" t="s">
        <v>178</v>
      </c>
      <c r="E4" s="128" t="s">
        <v>180</v>
      </c>
      <c r="F4" s="127" t="s">
        <v>179</v>
      </c>
      <c r="G4" s="126" t="s">
        <v>180</v>
      </c>
      <c r="H4" s="125" t="s">
        <v>179</v>
      </c>
      <c r="I4" s="128" t="s">
        <v>200</v>
      </c>
      <c r="J4" s="127" t="s">
        <v>178</v>
      </c>
      <c r="K4" s="126" t="s">
        <v>199</v>
      </c>
      <c r="L4" s="125" t="s">
        <v>198</v>
      </c>
      <c r="M4" s="678"/>
    </row>
    <row r="5" spans="2:13">
      <c r="B5" s="660" t="s">
        <v>197</v>
      </c>
      <c r="C5" s="122">
        <f>G5/4</f>
        <v>0.375</v>
      </c>
      <c r="D5" s="121">
        <f>C5*$M$5</f>
        <v>307500</v>
      </c>
      <c r="E5" s="124">
        <f>G5/2</f>
        <v>0.75</v>
      </c>
      <c r="F5" s="123">
        <f>E5*$M$5</f>
        <v>615000</v>
      </c>
      <c r="G5" s="122">
        <v>1.5</v>
      </c>
      <c r="H5" s="121">
        <f>G5*$M$5</f>
        <v>1230000</v>
      </c>
      <c r="I5" s="124">
        <f>G5*1.5</f>
        <v>2.25</v>
      </c>
      <c r="J5" s="123">
        <f>I5*$M$5</f>
        <v>1845000</v>
      </c>
      <c r="K5" s="122">
        <f>G5*2</f>
        <v>3</v>
      </c>
      <c r="L5" s="121">
        <f>K5*$M$5</f>
        <v>2460000</v>
      </c>
      <c r="M5" s="662">
        <v>820000</v>
      </c>
    </row>
    <row r="6" spans="2:13">
      <c r="B6" s="661"/>
      <c r="C6" s="117">
        <f>G6/4</f>
        <v>0.5</v>
      </c>
      <c r="D6" s="113" t="s">
        <v>175</v>
      </c>
      <c r="E6" s="129">
        <f>G6/2</f>
        <v>1</v>
      </c>
      <c r="F6" s="115" t="s">
        <v>175</v>
      </c>
      <c r="G6" s="120">
        <v>2</v>
      </c>
      <c r="H6" s="113" t="s">
        <v>196</v>
      </c>
      <c r="I6" s="116">
        <f>G6*1.5</f>
        <v>3</v>
      </c>
      <c r="J6" s="115" t="s">
        <v>195</v>
      </c>
      <c r="K6" s="114">
        <f>G6*2</f>
        <v>4</v>
      </c>
      <c r="L6" s="113" t="s">
        <v>175</v>
      </c>
      <c r="M6" s="663"/>
    </row>
    <row r="7" spans="2:13">
      <c r="B7" s="664" t="s">
        <v>194</v>
      </c>
      <c r="C7" s="118">
        <f>G7/4</f>
        <v>0.5</v>
      </c>
      <c r="D7" s="108">
        <f>C7*$M$7</f>
        <v>41000</v>
      </c>
      <c r="E7" s="119">
        <f>G7/2</f>
        <v>1</v>
      </c>
      <c r="F7" s="110">
        <f>E7*$M$7</f>
        <v>82000</v>
      </c>
      <c r="G7" s="118">
        <v>2</v>
      </c>
      <c r="H7" s="108">
        <f>G7*$M$7</f>
        <v>164000</v>
      </c>
      <c r="I7" s="119">
        <f>G7*1.5</f>
        <v>3</v>
      </c>
      <c r="J7" s="110">
        <f>I7*$M$7</f>
        <v>246000</v>
      </c>
      <c r="K7" s="118">
        <f>G7*2</f>
        <v>4</v>
      </c>
      <c r="L7" s="108">
        <f>K7*$M$7</f>
        <v>328000</v>
      </c>
      <c r="M7" s="665">
        <v>82000</v>
      </c>
    </row>
    <row r="8" spans="2:13">
      <c r="B8" s="661"/>
      <c r="C8" s="117">
        <f>G8/4</f>
        <v>0.5</v>
      </c>
      <c r="D8" s="113" t="s">
        <v>192</v>
      </c>
      <c r="E8" s="116">
        <f>G8/2</f>
        <v>1</v>
      </c>
      <c r="F8" s="115" t="s">
        <v>193</v>
      </c>
      <c r="G8" s="114">
        <v>2</v>
      </c>
      <c r="H8" s="113" t="s">
        <v>192</v>
      </c>
      <c r="I8" s="116">
        <f>G8*1.5</f>
        <v>3</v>
      </c>
      <c r="J8" s="115" t="s">
        <v>192</v>
      </c>
      <c r="K8" s="114">
        <f>G8*2</f>
        <v>4</v>
      </c>
      <c r="L8" s="113" t="s">
        <v>192</v>
      </c>
      <c r="M8" s="663"/>
    </row>
    <row r="9" spans="2:13">
      <c r="B9" s="112" t="s">
        <v>191</v>
      </c>
      <c r="C9" s="109">
        <v>1</v>
      </c>
      <c r="D9" s="108">
        <f>C9*$M$9</f>
        <v>55000</v>
      </c>
      <c r="E9" s="111">
        <v>1</v>
      </c>
      <c r="F9" s="110">
        <f>E9*$M$9</f>
        <v>55000</v>
      </c>
      <c r="G9" s="109">
        <v>1</v>
      </c>
      <c r="H9" s="108">
        <f>G9*$M$9</f>
        <v>55000</v>
      </c>
      <c r="I9" s="111">
        <v>1</v>
      </c>
      <c r="J9" s="110">
        <f>I9*$M$9</f>
        <v>55000</v>
      </c>
      <c r="K9" s="109">
        <v>1</v>
      </c>
      <c r="L9" s="108">
        <f>K9*$M$9</f>
        <v>55000</v>
      </c>
      <c r="M9" s="107">
        <v>55000</v>
      </c>
    </row>
    <row r="10" spans="2:13">
      <c r="B10" s="112" t="s">
        <v>190</v>
      </c>
      <c r="C10" s="109">
        <v>1</v>
      </c>
      <c r="D10" s="108">
        <f>C10*$M$10</f>
        <v>48000</v>
      </c>
      <c r="E10" s="111">
        <v>1</v>
      </c>
      <c r="F10" s="110">
        <f>E10*$M$10</f>
        <v>48000</v>
      </c>
      <c r="G10" s="109">
        <v>1</v>
      </c>
      <c r="H10" s="108">
        <f>G10*$M$10</f>
        <v>48000</v>
      </c>
      <c r="I10" s="111">
        <v>1</v>
      </c>
      <c r="J10" s="110">
        <f>I10*$M$10</f>
        <v>48000</v>
      </c>
      <c r="K10" s="109">
        <v>1</v>
      </c>
      <c r="L10" s="108">
        <f>K10*$M$10</f>
        <v>48000</v>
      </c>
      <c r="M10" s="107">
        <v>48000</v>
      </c>
    </row>
    <row r="11" spans="2:13" ht="14.5" thickBot="1">
      <c r="B11" s="106" t="s">
        <v>169</v>
      </c>
      <c r="C11" s="666">
        <f>SUM(D5:D10)</f>
        <v>451500</v>
      </c>
      <c r="D11" s="667"/>
      <c r="E11" s="668">
        <f>SUM(F5:F10)</f>
        <v>800000</v>
      </c>
      <c r="F11" s="669"/>
      <c r="G11" s="666">
        <f>SUM(H5:H10)</f>
        <v>1497000</v>
      </c>
      <c r="H11" s="667"/>
      <c r="I11" s="668">
        <f>SUM(J5:J10)</f>
        <v>2194000</v>
      </c>
      <c r="J11" s="669"/>
      <c r="K11" s="666">
        <f>SUM(L5:L10)</f>
        <v>2891000</v>
      </c>
      <c r="L11" s="667"/>
      <c r="M11" s="105"/>
    </row>
    <row r="12" spans="2:13" ht="9" customHeight="1" thickBot="1"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0"/>
    </row>
    <row r="13" spans="2:13">
      <c r="B13" s="671" t="s">
        <v>189</v>
      </c>
      <c r="C13" s="673" t="s">
        <v>188</v>
      </c>
      <c r="D13" s="674"/>
      <c r="E13" s="675" t="s">
        <v>187</v>
      </c>
      <c r="F13" s="676"/>
      <c r="G13" s="673" t="s">
        <v>186</v>
      </c>
      <c r="H13" s="674"/>
      <c r="I13" s="675" t="s">
        <v>184</v>
      </c>
      <c r="J13" s="676"/>
      <c r="K13" s="673" t="s">
        <v>183</v>
      </c>
      <c r="L13" s="674"/>
      <c r="M13" s="677" t="s">
        <v>182</v>
      </c>
    </row>
    <row r="14" spans="2:13" ht="14.5" thickBot="1">
      <c r="B14" s="672"/>
      <c r="C14" s="126" t="s">
        <v>131</v>
      </c>
      <c r="D14" s="125" t="s">
        <v>178</v>
      </c>
      <c r="E14" s="128" t="s">
        <v>131</v>
      </c>
      <c r="F14" s="127" t="s">
        <v>178</v>
      </c>
      <c r="G14" s="126" t="s">
        <v>131</v>
      </c>
      <c r="H14" s="125" t="s">
        <v>178</v>
      </c>
      <c r="I14" s="128" t="s">
        <v>180</v>
      </c>
      <c r="J14" s="127" t="s">
        <v>178</v>
      </c>
      <c r="K14" s="126" t="s">
        <v>180</v>
      </c>
      <c r="L14" s="125" t="s">
        <v>179</v>
      </c>
      <c r="M14" s="678"/>
    </row>
    <row r="15" spans="2:13">
      <c r="B15" s="660" t="s">
        <v>177</v>
      </c>
      <c r="C15" s="122">
        <f>G15/4</f>
        <v>0.75</v>
      </c>
      <c r="D15" s="121">
        <f>C15*$M$5</f>
        <v>615000</v>
      </c>
      <c r="E15" s="124">
        <f>G15/2</f>
        <v>1.5</v>
      </c>
      <c r="F15" s="123">
        <f>E15*$M$5</f>
        <v>1230000</v>
      </c>
      <c r="G15" s="122">
        <f>1.5*2</f>
        <v>3</v>
      </c>
      <c r="H15" s="121">
        <f>G15*$M$5</f>
        <v>2460000</v>
      </c>
      <c r="I15" s="124">
        <f>G15*1.5</f>
        <v>4.5</v>
      </c>
      <c r="J15" s="123">
        <f>I15*$M$5</f>
        <v>3690000</v>
      </c>
      <c r="K15" s="122">
        <f>G15*2</f>
        <v>6</v>
      </c>
      <c r="L15" s="121">
        <f>K15*$M$5</f>
        <v>4920000</v>
      </c>
      <c r="M15" s="662">
        <v>820000</v>
      </c>
    </row>
    <row r="16" spans="2:13">
      <c r="B16" s="661"/>
      <c r="C16" s="114">
        <f>G16/4</f>
        <v>1</v>
      </c>
      <c r="D16" s="113" t="s">
        <v>176</v>
      </c>
      <c r="E16" s="116">
        <f>G16/2</f>
        <v>2</v>
      </c>
      <c r="F16" s="115" t="s">
        <v>176</v>
      </c>
      <c r="G16" s="120">
        <v>4</v>
      </c>
      <c r="H16" s="113" t="s">
        <v>176</v>
      </c>
      <c r="I16" s="116">
        <f>G16*1.5</f>
        <v>6</v>
      </c>
      <c r="J16" s="115" t="s">
        <v>176</v>
      </c>
      <c r="K16" s="114">
        <f>G16*2</f>
        <v>8</v>
      </c>
      <c r="L16" s="113" t="s">
        <v>176</v>
      </c>
      <c r="M16" s="663"/>
    </row>
    <row r="17" spans="2:13">
      <c r="B17" s="664" t="s">
        <v>174</v>
      </c>
      <c r="C17" s="118">
        <f>G17/4</f>
        <v>0.5</v>
      </c>
      <c r="D17" s="108">
        <f>C17*$M$7</f>
        <v>41000</v>
      </c>
      <c r="E17" s="119">
        <f>G17/2</f>
        <v>1</v>
      </c>
      <c r="F17" s="110">
        <f>E17*$M$7</f>
        <v>82000</v>
      </c>
      <c r="G17" s="118">
        <v>2</v>
      </c>
      <c r="H17" s="108">
        <f>G17*$M$7</f>
        <v>164000</v>
      </c>
      <c r="I17" s="119">
        <f>G17*1.5</f>
        <v>3</v>
      </c>
      <c r="J17" s="110">
        <f>I17*$M$7</f>
        <v>246000</v>
      </c>
      <c r="K17" s="118">
        <f>G17*2</f>
        <v>4</v>
      </c>
      <c r="L17" s="108">
        <f>K17*$M$7</f>
        <v>328000</v>
      </c>
      <c r="M17" s="665">
        <v>82000</v>
      </c>
    </row>
    <row r="18" spans="2:13">
      <c r="B18" s="661"/>
      <c r="C18" s="117">
        <f>G18/4</f>
        <v>0.5</v>
      </c>
      <c r="D18" s="113" t="s">
        <v>173</v>
      </c>
      <c r="E18" s="116">
        <f>G18/2</f>
        <v>1</v>
      </c>
      <c r="F18" s="115" t="s">
        <v>173</v>
      </c>
      <c r="G18" s="114">
        <v>2</v>
      </c>
      <c r="H18" s="113" t="s">
        <v>173</v>
      </c>
      <c r="I18" s="116">
        <f>G18*1.5</f>
        <v>3</v>
      </c>
      <c r="J18" s="115" t="s">
        <v>173</v>
      </c>
      <c r="K18" s="114">
        <f>G18*2</f>
        <v>4</v>
      </c>
      <c r="L18" s="113" t="s">
        <v>172</v>
      </c>
      <c r="M18" s="663"/>
    </row>
    <row r="19" spans="2:13">
      <c r="B19" s="112" t="s">
        <v>171</v>
      </c>
      <c r="C19" s="109">
        <v>1</v>
      </c>
      <c r="D19" s="108">
        <f>C19*$M$9</f>
        <v>55000</v>
      </c>
      <c r="E19" s="111">
        <v>1</v>
      </c>
      <c r="F19" s="110">
        <f>E19*$M$9</f>
        <v>55000</v>
      </c>
      <c r="G19" s="109">
        <v>1</v>
      </c>
      <c r="H19" s="108">
        <f>G19*$M$9</f>
        <v>55000</v>
      </c>
      <c r="I19" s="111">
        <v>1</v>
      </c>
      <c r="J19" s="110">
        <f>I19*$M$9</f>
        <v>55000</v>
      </c>
      <c r="K19" s="109">
        <v>1</v>
      </c>
      <c r="L19" s="108">
        <f>K19*$M$9</f>
        <v>55000</v>
      </c>
      <c r="M19" s="107">
        <v>55000</v>
      </c>
    </row>
    <row r="20" spans="2:13">
      <c r="B20" s="112" t="s">
        <v>170</v>
      </c>
      <c r="C20" s="109">
        <v>1</v>
      </c>
      <c r="D20" s="108">
        <f>C20*$M$10</f>
        <v>48000</v>
      </c>
      <c r="E20" s="111">
        <v>1</v>
      </c>
      <c r="F20" s="110">
        <f>E20*$M$10</f>
        <v>48000</v>
      </c>
      <c r="G20" s="109">
        <v>1</v>
      </c>
      <c r="H20" s="108">
        <f>G20*$M$10</f>
        <v>48000</v>
      </c>
      <c r="I20" s="111">
        <v>1</v>
      </c>
      <c r="J20" s="110">
        <f>I20*$M$10</f>
        <v>48000</v>
      </c>
      <c r="K20" s="109">
        <v>1</v>
      </c>
      <c r="L20" s="108">
        <f>K20*$M$10</f>
        <v>48000</v>
      </c>
      <c r="M20" s="107">
        <v>48000</v>
      </c>
    </row>
    <row r="21" spans="2:13" ht="14.5" thickBot="1">
      <c r="B21" s="106" t="s">
        <v>169</v>
      </c>
      <c r="C21" s="666">
        <f>SUM(D15:D20)</f>
        <v>759000</v>
      </c>
      <c r="D21" s="667"/>
      <c r="E21" s="668">
        <f>SUM(F15:F20)</f>
        <v>1415000</v>
      </c>
      <c r="F21" s="669"/>
      <c r="G21" s="666">
        <f>SUM(H15:H20)</f>
        <v>2727000</v>
      </c>
      <c r="H21" s="667"/>
      <c r="I21" s="668">
        <f>SUM(J15:J20)</f>
        <v>4039000</v>
      </c>
      <c r="J21" s="669"/>
      <c r="K21" s="666">
        <f>SUM(L15:L20)</f>
        <v>5351000</v>
      </c>
      <c r="L21" s="667"/>
      <c r="M21" s="105"/>
    </row>
    <row r="22" spans="2:13" ht="6.75" customHeight="1"/>
    <row r="23" spans="2:13">
      <c r="B23" s="658" t="s">
        <v>168</v>
      </c>
      <c r="C23" s="658"/>
      <c r="D23" s="658"/>
      <c r="E23" s="658"/>
      <c r="F23" s="658"/>
      <c r="G23" s="658"/>
      <c r="H23" s="658"/>
      <c r="I23" s="658"/>
      <c r="J23" s="658"/>
      <c r="K23" s="658"/>
      <c r="L23" s="658"/>
      <c r="M23" s="658"/>
    </row>
    <row r="24" spans="2:13">
      <c r="B24" s="659" t="s">
        <v>167</v>
      </c>
      <c r="C24" s="659"/>
      <c r="D24" s="659"/>
      <c r="E24" s="659"/>
      <c r="F24" s="659"/>
      <c r="G24" s="659"/>
      <c r="H24" s="659"/>
      <c r="I24" s="659"/>
      <c r="J24" s="659"/>
      <c r="K24" s="659"/>
      <c r="L24" s="659"/>
      <c r="M24" s="659"/>
    </row>
    <row r="25" spans="2:13">
      <c r="B25" s="658" t="s">
        <v>166</v>
      </c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</row>
    <row r="26" spans="2:13" ht="7.5" customHeight="1"/>
    <row r="27" spans="2:13">
      <c r="B27" s="658" t="s">
        <v>165</v>
      </c>
      <c r="C27" s="658"/>
      <c r="D27" s="658"/>
      <c r="E27" s="658"/>
      <c r="F27" s="658"/>
      <c r="G27" s="658"/>
      <c r="H27" s="658"/>
      <c r="I27" s="658"/>
      <c r="J27" s="658"/>
      <c r="K27" s="658"/>
      <c r="L27" s="658"/>
      <c r="M27" s="658"/>
    </row>
    <row r="28" spans="2:13">
      <c r="B28" s="659" t="s">
        <v>164</v>
      </c>
      <c r="C28" s="659"/>
      <c r="D28" s="659"/>
      <c r="E28" s="659"/>
      <c r="F28" s="659"/>
      <c r="G28" s="659"/>
      <c r="H28" s="659"/>
      <c r="I28" s="659"/>
      <c r="J28" s="659"/>
      <c r="K28" s="659"/>
      <c r="L28" s="659"/>
      <c r="M28" s="659"/>
    </row>
    <row r="29" spans="2:13">
      <c r="B29" s="658" t="s">
        <v>163</v>
      </c>
      <c r="C29" s="658"/>
      <c r="D29" s="658"/>
      <c r="E29" s="658"/>
      <c r="F29" s="658"/>
      <c r="G29" s="658"/>
      <c r="H29" s="658"/>
      <c r="I29" s="658"/>
      <c r="J29" s="658"/>
      <c r="K29" s="658"/>
      <c r="L29" s="658"/>
      <c r="M29" s="658"/>
    </row>
    <row r="30" spans="2:13" ht="6" customHeight="1"/>
    <row r="31" spans="2:13">
      <c r="B31" s="657" t="s">
        <v>162</v>
      </c>
      <c r="C31" s="657"/>
      <c r="D31" s="657"/>
      <c r="E31" s="657"/>
      <c r="F31" s="657"/>
      <c r="G31" s="657"/>
      <c r="H31" s="657"/>
      <c r="I31" s="657"/>
      <c r="J31" s="657"/>
      <c r="K31" s="657"/>
      <c r="L31" s="657"/>
      <c r="M31" s="657"/>
    </row>
  </sheetData>
  <mergeCells count="41">
    <mergeCell ref="B2:M2"/>
    <mergeCell ref="B3:B4"/>
    <mergeCell ref="C3:D3"/>
    <mergeCell ref="E3:F3"/>
    <mergeCell ref="G3:H3"/>
    <mergeCell ref="I3:J3"/>
    <mergeCell ref="K3:L3"/>
    <mergeCell ref="M3:M4"/>
    <mergeCell ref="B5:B6"/>
    <mergeCell ref="M5:M6"/>
    <mergeCell ref="B7:B8"/>
    <mergeCell ref="M7:M8"/>
    <mergeCell ref="C11:D11"/>
    <mergeCell ref="E11:F11"/>
    <mergeCell ref="G11:H11"/>
    <mergeCell ref="I11:J11"/>
    <mergeCell ref="K11:L11"/>
    <mergeCell ref="B12:M12"/>
    <mergeCell ref="B13:B14"/>
    <mergeCell ref="C13:D13"/>
    <mergeCell ref="E13:F13"/>
    <mergeCell ref="G13:H13"/>
    <mergeCell ref="I13:J13"/>
    <mergeCell ref="K13:L13"/>
    <mergeCell ref="M13:M14"/>
    <mergeCell ref="B15:B16"/>
    <mergeCell ref="M15:M16"/>
    <mergeCell ref="B17:B18"/>
    <mergeCell ref="M17:M18"/>
    <mergeCell ref="C21:D21"/>
    <mergeCell ref="E21:F21"/>
    <mergeCell ref="G21:H21"/>
    <mergeCell ref="I21:J21"/>
    <mergeCell ref="K21:L21"/>
    <mergeCell ref="B31:M31"/>
    <mergeCell ref="B23:M23"/>
    <mergeCell ref="B24:M24"/>
    <mergeCell ref="B25:M25"/>
    <mergeCell ref="B27:M27"/>
    <mergeCell ref="B28:M28"/>
    <mergeCell ref="B29:M29"/>
  </mergeCells>
  <phoneticPr fontId="2" type="noConversion"/>
  <pageMargins left="0.75" right="0.75" top="0.47" bottom="0.3" header="0.28999999999999998" footer="0.17"/>
  <pageSetup paperSize="9" scale="12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Cooling-Calc-New</vt:lpstr>
      <vt:lpstr>Cooling-Calc-Old</vt:lpstr>
      <vt:lpstr>TowerTabCalc</vt:lpstr>
      <vt:lpstr>'Cooling-Calc-New'!Print_Area</vt:lpstr>
      <vt:lpstr>'Cooling-Calc-Old'!Print_Area</vt:lpstr>
      <vt:lpstr>TowerTabCalc!Print_Area</vt:lpstr>
    </vt:vector>
  </TitlesOfParts>
  <Company>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</dc:creator>
  <cp:lastModifiedBy>Bae Yong Roh</cp:lastModifiedBy>
  <cp:lastPrinted>2022-12-21T01:30:52Z</cp:lastPrinted>
  <dcterms:created xsi:type="dcterms:W3CDTF">2012-07-05T06:35:33Z</dcterms:created>
  <dcterms:modified xsi:type="dcterms:W3CDTF">2026-04-10T04:13:56Z</dcterms:modified>
</cp:coreProperties>
</file>