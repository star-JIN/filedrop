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solenis-my.sharepoint.com/personal/kyujin_lee_solenis_com/Documents/backup/CA/TSM Job/02 Data center/01 Datacenter in Korea/"/>
    </mc:Choice>
  </mc:AlternateContent>
  <xr:revisionPtr revIDLastSave="21" documentId="8_{E6A8B298-2424-4FDA-AF87-DC90562CEFEA}" xr6:coauthVersionLast="47" xr6:coauthVersionMax="47" xr10:uidLastSave="{97E51A2B-58FB-4C58-8707-72B0EB030F00}"/>
  <bookViews>
    <workbookView xWindow="-28920" yWindow="-120" windowWidth="29040" windowHeight="15720" tabRatio="816" firstSheet="3" activeTab="4" xr2:uid="{00000000-000D-0000-FFFF-FFFF00000000}"/>
  </bookViews>
  <sheets>
    <sheet name="Sheet1" sheetId="1" state="hidden" r:id="rId1"/>
    <sheet name="Topics" sheetId="2" state="hidden" r:id="rId2"/>
    <sheet name="Sheet3" sheetId="21" state="hidden" r:id="rId3"/>
    <sheet name="South Korea (86)" sheetId="14" r:id="rId4"/>
    <sheet name="Datacenter list in Korea from D" sheetId="23" r:id="rId5"/>
  </sheets>
  <definedNames>
    <definedName name="_xlnm._FilterDatabase" localSheetId="3" hidden="1">'South Korea (86)'!$A$1:$AK$1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2" l="1"/>
  <c r="C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B5414-7A4B-4999-85BA-73D63CB4217E}" keepAlive="1" name="쿼리 - Datacenter list in Korea from DCmap" description="통합 문서의 'Datacenter list in Korea from DCmap' 쿼리에 대한 연결입니다." type="5" refreshedVersion="0" background="1" saveData="1">
    <dbPr connection="Provider=Microsoft.Mashup.OleDb.1;Data Source=$Workbook$;Location=&quot;Datacenter list in Korea from DCmap&quot;;Extended Properties=&quot;&quot;" command="SELECT * FROM [Datacenter list in Korea from DCmap]"/>
  </connection>
</connections>
</file>

<file path=xl/sharedStrings.xml><?xml version="1.0" encoding="utf-8"?>
<sst xmlns="http://schemas.openxmlformats.org/spreadsheetml/2006/main" count="1796" uniqueCount="797">
  <si>
    <t>Learning Unit Name</t>
  </si>
  <si>
    <t>Complexity</t>
  </si>
  <si>
    <t>Frequency</t>
  </si>
  <si>
    <t>Criticality</t>
  </si>
  <si>
    <t>Mid objectives</t>
  </si>
  <si>
    <t>Comments</t>
  </si>
  <si>
    <t>Explain the advantages of selling CA to DC from the Company and Employee perspective</t>
  </si>
  <si>
    <t>Presentation</t>
  </si>
  <si>
    <t>Low</t>
  </si>
  <si>
    <t>High</t>
  </si>
  <si>
    <t>Main Purpose</t>
  </si>
  <si>
    <t>Slide Deck + Facilitated Discussion</t>
  </si>
  <si>
    <t>Medium</t>
  </si>
  <si>
    <t>Understanding the Data Centre World</t>
  </si>
  <si>
    <t>Introduce key concepts, terminology, and classifications of the DC industry</t>
  </si>
  <si>
    <t>Low–Medium</t>
  </si>
  <si>
    <t>Builds essential baseline before diving into regions and solutions</t>
  </si>
  <si>
    <t>- Define what a Data Centre is and what it does
- Explain the four types of DCs (Hyperscale, Colo, Enterprise, Edge)
- Clarify DC sizing (kW/MW), PUE, WUE, IT Load, Cooling Load
- Introduce water’s role in DC operations</t>
  </si>
  <si>
    <t>Provide a capacity-based overview of global and regional Data Centre markets</t>
  </si>
  <si>
    <t>Explain the main cooling technologies used in data centres and their relation to water-treatment needs</t>
  </si>
  <si>
    <t>Medium–High</t>
  </si>
  <si>
    <t>Critical for understanding where Chem-Aqua solutions are applied; connects to Solution Design modules</t>
  </si>
  <si>
    <t>Connects foundation knowledge to Chem-Aqua’s strategic sales opportunity; supports Cooling &amp; Regulatory modules</t>
  </si>
  <si>
    <t>Presentation + Matching Exercise</t>
  </si>
  <si>
    <t>Teach how to position Chem-Aqua’s signature approach as a high-impact DC solution</t>
  </si>
  <si>
    <t>Anchors Chem-Aqua's core approach into a DC-specific value-selling framework; connects to case studies</t>
  </si>
  <si>
    <t>Presentation + Case Studies + Pitch Practice</t>
  </si>
  <si>
    <t>Selling Value with Get Clean, Keep Clean &amp; ROI</t>
  </si>
  <si>
    <t>Regulatory and Sustainability Landscape</t>
  </si>
  <si>
    <t>Explain the key regulations and sustainability metrics influencing DC water management</t>
  </si>
  <si>
    <t>Chemistry in Data Centre Water Treatment</t>
  </si>
  <si>
    <t>Explain the role of chemical treatment in cooling water programmes</t>
  </si>
  <si>
    <t>Prepares learners to talk confidently about Chem-Aqua’s chemical toolbox in DCs</t>
  </si>
  <si>
    <t>Introduce the tools and systems used to feed, monitor, and control treatment</t>
  </si>
  <si>
    <t>Focuses on technology delivery; prepares learners for advanced monitoring, alerts, and integration topics</t>
  </si>
  <si>
    <t>Teach how to prepare for and conduct a water-treatment survey in a data centre setting</t>
  </si>
  <si>
    <t>Format</t>
  </si>
  <si>
    <t>Presentation + Visual Demo</t>
  </si>
  <si>
    <t>Prepares team for customer-facing work;</t>
  </si>
  <si>
    <t>Module</t>
  </si>
  <si>
    <t>- Explain global IT and cooling capacity growth (in MW/GW)
- Identify key regional markets (North America, Europe, Asia-Pacific) and their characteristics
- Identify key Player in  the DC market 
- Recognise trends like AI/HPC, Crypto, edge, sustainability, and how they affect infrastructure
- Explain regional water risks and regulatory impacts
- Connect market context to Chem-Aqua’s water-treatment relevance</t>
  </si>
  <si>
    <t xml:space="preserve">- Review DC-specific safety and access protocols
- Identify what systems to inspect and what Data to collect
- Apply cooling knowledge to real systems examples
- Explain Step-by-Step DC 360 Survey Forms and reporting tools to ensure good service </t>
  </si>
  <si>
    <t>Service Stadards in Data Centers</t>
  </si>
  <si>
    <t>Site Survey  in Data Centres</t>
  </si>
  <si>
    <t>Why Sell to Data Centers?</t>
  </si>
  <si>
    <t>- Explain why CA chose to develop a Global Initiative for this Vertical
- Explain the Main Needs of DC and how our DC Customers evaluate CA (VoC)
- Explain the Advantages of Selling CA from Employee Perspective</t>
  </si>
  <si>
    <t xml:space="preserve">Engage the Managers and  reps focusing  on this Vertical </t>
  </si>
  <si>
    <t>- Identify key treatment goals: prevent scale, corrosion, fouling, microbio
- Key differentiators in DC: bioeXile, HandiChem®
- PAG  based on system and region</t>
  </si>
  <si>
    <t xml:space="preserve">Cooling Technologies &amp; Water-Treatment </t>
  </si>
  <si>
    <t>Review best practices and performance metrics for each type of system</t>
  </si>
  <si>
    <t>Type</t>
  </si>
  <si>
    <t>On line or classroom</t>
  </si>
  <si>
    <t>Classroom</t>
  </si>
  <si>
    <t>Presentation + Examples</t>
  </si>
  <si>
    <t>Survey Review+ Templates +Examples</t>
  </si>
  <si>
    <t>Equipment and engineering solutions in Data Centres: Dosing, Control and Automation</t>
  </si>
  <si>
    <t>ROI in Data Centers</t>
  </si>
  <si>
    <t>- Introduce key differentiators (solids, monitoring systems
- Explain how real-time control is done with aquaDART® + Monitoring
- Show how automation ties to uptime, efficiency, and reporting
- Explain how bioDART add value and how to sell it</t>
  </si>
  <si>
    <t>Classroom or on line</t>
  </si>
  <si>
    <t>Market Overview</t>
  </si>
  <si>
    <t>-Review typical cooling systems; ROI , Potential Savings and ROI calculations examples</t>
  </si>
  <si>
    <t>Differentiating sales approach</t>
  </si>
  <si>
    <t>Especially important in Europe and APAC; supports consultative selling and program design conversations</t>
  </si>
  <si>
    <r>
      <t xml:space="preserve">- Refresh key metrics: </t>
    </r>
    <r>
      <rPr>
        <b/>
        <sz val="11"/>
        <color theme="1"/>
        <rFont val="맑은 고딕"/>
        <family val="2"/>
        <scheme val="minor"/>
      </rPr>
      <t>PUE, WUE, CUE</t>
    </r>
    <r>
      <rPr>
        <sz val="11"/>
        <color theme="1"/>
        <rFont val="맑은 고딕"/>
        <family val="2"/>
        <scheme val="minor"/>
      </rPr>
      <t xml:space="preserve"> 
- Explain EU EED and ISO 30134 reporting standards
- Identify regional regulatory priorities (Europe, NA, Asia-Pacific); </t>
    </r>
    <r>
      <rPr>
        <sz val="11"/>
        <rFont val="맑은 고딕"/>
        <family val="2"/>
        <scheme val="minor"/>
      </rPr>
      <t>APAC Sustainability Awards in DC</t>
    </r>
    <r>
      <rPr>
        <sz val="11"/>
        <color theme="1"/>
        <rFont val="맑은 고딕"/>
        <family val="2"/>
        <scheme val="minor"/>
      </rPr>
      <t xml:space="preserve">
- Explain how Chem-Aqua helps clients meet water-related ESG goals</t>
    </r>
  </si>
  <si>
    <t>Duration(min)</t>
  </si>
  <si>
    <t>- Explain what Get Clean, Keep Clean is and how it works in the DC Context
- Translate its value into DC-specific benefits (efficiency, sustainability, reliability)
- Identify when and how to introduce the concept during the sales process
- Use proof points to build trust - Case Studies
- Calculate ROI(intro dedicated module below)</t>
  </si>
  <si>
    <t>Medium- High</t>
  </si>
  <si>
    <t>Presentation+ Interactive excercise</t>
  </si>
  <si>
    <t>Medium-High</t>
  </si>
  <si>
    <t>Critical  for any rep servicing data centers</t>
  </si>
  <si>
    <t>Target audience</t>
  </si>
  <si>
    <t>Managers, Reps</t>
  </si>
  <si>
    <t>Managers, Engineering , R&amp;D</t>
  </si>
  <si>
    <t>Managers, SMEs, Hunters and Farmers, Engineering, R&amp;D</t>
  </si>
  <si>
    <t>All</t>
  </si>
  <si>
    <r>
      <t xml:space="preserve">Everyone </t>
    </r>
    <r>
      <rPr>
        <u/>
        <sz val="11"/>
        <color theme="1"/>
        <rFont val="맑은 고딕"/>
        <family val="2"/>
        <scheme val="minor"/>
      </rPr>
      <t>new</t>
    </r>
    <r>
      <rPr>
        <sz val="11"/>
        <color theme="1"/>
        <rFont val="맑은 고딕"/>
        <family val="2"/>
        <scheme val="minor"/>
      </rPr>
      <t xml:space="preserve"> to DC</t>
    </r>
  </si>
  <si>
    <t>SMEs</t>
  </si>
  <si>
    <t>CAMs, Farmers, SMEs</t>
  </si>
  <si>
    <t>Owner</t>
  </si>
  <si>
    <t>Simona V.</t>
  </si>
  <si>
    <t xml:space="preserve">Rotchel M. </t>
  </si>
  <si>
    <t>LC</t>
  </si>
  <si>
    <t>Max</t>
  </si>
  <si>
    <t>John B</t>
  </si>
  <si>
    <t xml:space="preserve">Tomas W. </t>
  </si>
  <si>
    <t xml:space="preserve">John B. </t>
  </si>
  <si>
    <t xml:space="preserve">Mark D. </t>
  </si>
  <si>
    <t>Presentation +Quiz</t>
  </si>
  <si>
    <t>Presentation + Interactive Exercise (Kahoot, Quiz)</t>
  </si>
  <si>
    <t>Allan</t>
  </si>
  <si>
    <t xml:space="preserve">John B(NAC), Rotchel (APAC), James B. (Europe) </t>
  </si>
  <si>
    <t>- Best Practices, Trobleshooting, Lesson learned</t>
  </si>
  <si>
    <t xml:space="preserve"> - Identify the most common cooling systems in DCs: air-based, evaporative, closed-circuit, liquid cooling, direct-to-chip, immersion 
- Describe how water is used (or not used) in each system
- Recognise treatment challenges and goals for each type
- Match Chem-Aqua capabilities to different cooling contexts</t>
  </si>
  <si>
    <t>revised owner</t>
    <phoneticPr fontId="5" type="noConversion"/>
  </si>
  <si>
    <t>Simona V.</t>
    <phoneticPr fontId="5" type="noConversion"/>
  </si>
  <si>
    <t>LC</t>
    <phoneticPr fontId="5" type="noConversion"/>
  </si>
  <si>
    <t>Rotchel</t>
    <phoneticPr fontId="5" type="noConversion"/>
  </si>
  <si>
    <t xml:space="preserve">Rotchel (APAC) </t>
    <phoneticPr fontId="5" type="noConversion"/>
  </si>
  <si>
    <t xml:space="preserve">LC </t>
    <phoneticPr fontId="5" type="noConversion"/>
  </si>
  <si>
    <t>revised type</t>
    <phoneticPr fontId="5" type="noConversion"/>
  </si>
  <si>
    <t xml:space="preserve"> classroom</t>
    <phoneticPr fontId="5" type="noConversion"/>
  </si>
  <si>
    <t xml:space="preserve">  on line</t>
    <phoneticPr fontId="5" type="noConversion"/>
  </si>
  <si>
    <t>Classroom</t>
    <phoneticPr fontId="5" type="noConversion"/>
  </si>
  <si>
    <t>revised target audience</t>
    <phoneticPr fontId="5" type="noConversion"/>
  </si>
  <si>
    <t>NSMs,.TSMs, Reps, CAMs</t>
    <phoneticPr fontId="5" type="noConversion"/>
  </si>
  <si>
    <t>From 2nd Nov 2 to Nov 5th ( 3days)</t>
    <phoneticPr fontId="5" type="noConversion"/>
  </si>
  <si>
    <t>Target Country</t>
    <phoneticPr fontId="5" type="noConversion"/>
  </si>
  <si>
    <t xml:space="preserve">training location </t>
    <phoneticPr fontId="5" type="noConversion"/>
  </si>
  <si>
    <t xml:space="preserve">schedule </t>
    <phoneticPr fontId="5" type="noConversion"/>
  </si>
  <si>
    <t>TH</t>
    <phoneticPr fontId="5" type="noConversion"/>
  </si>
  <si>
    <t>CN, JP, KR, SG, IN, MY, TH</t>
    <phoneticPr fontId="5" type="noConversion"/>
  </si>
  <si>
    <t>Simona V. &amp; LC</t>
    <phoneticPr fontId="5" type="noConversion"/>
  </si>
  <si>
    <t>Max &amp; Pyxis</t>
    <phoneticPr fontId="5" type="noConversion"/>
  </si>
  <si>
    <t>on line, Classroom</t>
    <phoneticPr fontId="5" type="noConversion"/>
  </si>
  <si>
    <t>CN, JP, KR, SG, IN, MY, TH</t>
  </si>
  <si>
    <t>Teach the team how to find, calculate, and present ROI in data centers by turning water and energy savings into clear customer value.</t>
  </si>
  <si>
    <r>
      <rPr>
        <strike/>
        <sz val="11"/>
        <color theme="1"/>
        <rFont val="맑은 고딕"/>
        <family val="2"/>
        <scheme val="minor"/>
      </rPr>
      <t>Simona V.</t>
    </r>
    <r>
      <rPr>
        <sz val="11"/>
        <color theme="1"/>
        <rFont val="맑은 고딕"/>
        <family val="2"/>
        <scheme val="minor"/>
      </rPr>
      <t xml:space="preserve">
Rotchel</t>
    </r>
  </si>
  <si>
    <t>1. these three parts are markeing session, Total 3 hours. Could be heavy for the sales team in the monring.
2, these are important sessions as these topics are core foundation
3. can consider to reduce to 2.5 hours
4. and put interactive breaks, like quesitons and discusison in between, to be more active
5. Rotchel can cover #3</t>
  </si>
  <si>
    <t>1. after this session, can have sales team share two cases, with 20 min each. 
2. consider the case from IN, KR, MY, SG
3. Can be a good case and an experience</t>
  </si>
  <si>
    <t>Optiona 1: Max (online late afternoon)
Option 2: Rotchel 
&amp; Pyxis the last session</t>
  </si>
  <si>
    <t>Option 1: Allan, on line, from Dallas
Option 2: LC</t>
  </si>
  <si>
    <t>Colocation</t>
  </si>
  <si>
    <t>Operational</t>
  </si>
  <si>
    <t>Planned</t>
  </si>
  <si>
    <t>https://www.datacentermap.com/c/amazon-aws/</t>
  </si>
  <si>
    <t>Hyperscaler</t>
  </si>
  <si>
    <t>Amazon AWS</t>
  </si>
  <si>
    <t>https://www.datacentermap.com/c/equinix/</t>
  </si>
  <si>
    <t>Equinix</t>
  </si>
  <si>
    <t>https://www.datacentermap.com/c/kddi-corporation/</t>
  </si>
  <si>
    <t>KDDI Corporation</t>
  </si>
  <si>
    <t>https://www.datacentermap.com/c/digital-edge-dc/</t>
  </si>
  <si>
    <t>Digital Edge DC</t>
  </si>
  <si>
    <t>Unnamed: 35</t>
  </si>
  <si>
    <t>Unnamed: 34</t>
  </si>
  <si>
    <t>ecosystem_serviceproviders</t>
  </si>
  <si>
    <t>ecosystem_networkpresence</t>
  </si>
  <si>
    <t>ecosystem_networkproviders</t>
  </si>
  <si>
    <t>ecosystem_children</t>
  </si>
  <si>
    <t>ecosystem_cloud</t>
  </si>
  <si>
    <t>ecosystem_ixps</t>
  </si>
  <si>
    <t>provider_id</t>
  </si>
  <si>
    <t>building_sqm</t>
  </si>
  <si>
    <t>building_sqft</t>
  </si>
  <si>
    <t>whitespace_sqm</t>
  </si>
  <si>
    <t>whitespace_sqft</t>
  </si>
  <si>
    <t>address_details</t>
  </si>
  <si>
    <t>company_id</t>
  </si>
  <si>
    <t>parent_id</t>
  </si>
  <si>
    <t>id</t>
  </si>
  <si>
    <t>link_website</t>
  </si>
  <si>
    <t>link_company</t>
  </si>
  <si>
    <t>link_profile</t>
  </si>
  <si>
    <t>longitude</t>
  </si>
  <si>
    <t>latitude</t>
  </si>
  <si>
    <t>postal</t>
  </si>
  <si>
    <t>state</t>
  </si>
  <si>
    <t>market</t>
  </si>
  <si>
    <t>address</t>
  </si>
  <si>
    <t>tier_design</t>
  </si>
  <si>
    <t>year_operational</t>
  </si>
  <si>
    <t>pue</t>
  </si>
  <si>
    <t>power_mw</t>
  </si>
  <si>
    <t>type</t>
  </si>
  <si>
    <t>stage</t>
  </si>
  <si>
    <t>company_name</t>
  </si>
  <si>
    <t>name</t>
  </si>
  <si>
    <t>city</t>
  </si>
  <si>
    <t>country</t>
  </si>
  <si>
    <t>ListName</t>
  </si>
  <si>
    <t>Under Construction</t>
  </si>
  <si>
    <t>TBA</t>
  </si>
  <si>
    <t>https://www.datacentermap.com/c/microsoft/</t>
  </si>
  <si>
    <t>Microsoft</t>
  </si>
  <si>
    <t>https://www.datacentermap.com/c/digital-realty-trust/</t>
  </si>
  <si>
    <t>Digital Realty</t>
  </si>
  <si>
    <t>https://www.datacentermap.com/c/dci-data-centers/</t>
  </si>
  <si>
    <t>DCI Data Centers</t>
  </si>
  <si>
    <t>https://www.datacentermap.com/c/stack-infrastructure/</t>
  </si>
  <si>
    <t>STACK INFRASTRUCTURE</t>
  </si>
  <si>
    <t>Building</t>
  </si>
  <si>
    <t>https://www.datacentermap.com/c/telstra-limited/</t>
  </si>
  <si>
    <t>Telstra International</t>
  </si>
  <si>
    <t>https://www.datacentermap.com/c/empyrion-digital/</t>
  </si>
  <si>
    <t>Empyrion Digital</t>
  </si>
  <si>
    <t>https://www.datacentermap.com/c/st-telemedia-gdc/</t>
  </si>
  <si>
    <t>ST Telemedia Global Data Centres</t>
  </si>
  <si>
    <t>https://www.datacentermap.com/c/epoch-digital1/</t>
  </si>
  <si>
    <t>Epoch Digital</t>
  </si>
  <si>
    <t>https://www.datacentermap.com/c/epsilon-telecommunications/</t>
  </si>
  <si>
    <t>Epsilon</t>
  </si>
  <si>
    <t>https://www.datacentermap.com/visit/datacenter/kt-yongsan-dc/</t>
  </si>
  <si>
    <t>https://www.datacentermap.com/c/kt/</t>
  </si>
  <si>
    <t>https://www.datacentermap.com/south-korea/seoul/kt-yongsan-dc/</t>
  </si>
  <si>
    <t>Seoul</t>
  </si>
  <si>
    <t>33 Wonhyo-ro 41-gil</t>
  </si>
  <si>
    <t>kt IDC</t>
  </si>
  <si>
    <t>KT Yongsan DC</t>
  </si>
  <si>
    <t>Yongsan</t>
  </si>
  <si>
    <t>South Korea</t>
  </si>
  <si>
    <t>https://www.datacentermap.com/visit/datacenter/sejong-telecom-idc-bundang-center/</t>
  </si>
  <si>
    <t>https://www.datacentermap.com/c/sejong-networks/</t>
  </si>
  <si>
    <t>https://www.datacentermap.com/south-korea/seongnam/sejong-telecom-idc-bundang-center/</t>
  </si>
  <si>
    <t>Seongnam</t>
  </si>
  <si>
    <t>85, Yonggu-daero 2771beon-gil, Suji-gu, Dongcheon-dong</t>
  </si>
  <si>
    <t>Sejong Networks</t>
  </si>
  <si>
    <t>Sejong Telecom IDC Bundang Center</t>
  </si>
  <si>
    <t>Yongin-si</t>
  </si>
  <si>
    <t>https://www.datacentermap.com/visit/datacenter/pacific-sunny-data-centre/</t>
  </si>
  <si>
    <t>https://www.datacentermap.com/c/lgcns/</t>
  </si>
  <si>
    <t>https://www.datacentermap.com/south-korea/seoul/pacific-sunny-data-centre/</t>
  </si>
  <si>
    <t>1358 Jukjeon-dong, Suji-gu</t>
  </si>
  <si>
    <t>LG CNS</t>
  </si>
  <si>
    <t>Pacific Sunny Data Centre</t>
  </si>
  <si>
    <t>https://www.datacentermap.com/visit/datacenter/daou-jukjeon-cdc/</t>
  </si>
  <si>
    <t>https://www.datacentermap.com/c/daou-idc/</t>
  </si>
  <si>
    <t>https://www.datacentermap.com/south-korea/seoul/daou-jukjeon-cdc/</t>
  </si>
  <si>
    <t>23-11,12,13 Jukjeon-dong, Suji-gu</t>
  </si>
  <si>
    <t>Daou IDC</t>
  </si>
  <si>
    <t>DAOU Jukjeon CDC</t>
  </si>
  <si>
    <t>https://www.datacentermap.com/visit/datacenter/lotte-global-cloud-center/</t>
  </si>
  <si>
    <t>https://www.datacentermap.com/c/lotte-innovate/</t>
  </si>
  <si>
    <t>https://www.datacentermap.com/south-korea/seongnam/lotte-global-cloud-center/</t>
  </si>
  <si>
    <t>Mabuk-dong</t>
  </si>
  <si>
    <t>LOTTE Innovate</t>
  </si>
  <si>
    <t>LOTTE Global Cloud Center</t>
  </si>
  <si>
    <t>Yongin</t>
  </si>
  <si>
    <t>https://www.datacentermap.com/visit/datacenter/lotte-external-and-global-centre/</t>
  </si>
  <si>
    <t>https://www.datacentermap.com/south-korea/seongnam/lotte-external-and-global-centre/</t>
  </si>
  <si>
    <t>102-18 Mabuk-dong</t>
  </si>
  <si>
    <t>LOTTE External and Global Centre</t>
  </si>
  <si>
    <t>https://www.datacentermap.com/visit/datacenter/technology-1-thomson-computing-korea/</t>
  </si>
  <si>
    <t>https://www.datacentermap.com/c/metavisio-thomson-computing/</t>
  </si>
  <si>
    <t>https://www.datacentermap.com/south-korea/gangneung/technology-1-thomson-computing-korea/</t>
  </si>
  <si>
    <t>Gangneung</t>
  </si>
  <si>
    <t>SECRET, within a Yeongwol mining site, Gangwon Province</t>
  </si>
  <si>
    <t>Metavisio Thomson Computing</t>
  </si>
  <si>
    <t>Technology 1 Thomson Computing Korea</t>
  </si>
  <si>
    <t>Yeongwol-gun</t>
  </si>
  <si>
    <t>https://www.datacentermap.com/visit/datacenter/kt-gyeongbuk-ai-cdc/</t>
  </si>
  <si>
    <t>https://www.datacentermap.com/south-korea/gumi/kt-gyeongbuk-ai-cdc/</t>
  </si>
  <si>
    <t>Gumi</t>
  </si>
  <si>
    <t>832 Geumneung-ri, Homyeong-myeon</t>
  </si>
  <si>
    <t>KT Gyeongbuk AI CDC</t>
  </si>
  <si>
    <t>Yecheon-gun</t>
  </si>
  <si>
    <t>https://www.datacentermap.com/visit/datacenter/samsung-sds-suwon-ict-center/</t>
  </si>
  <si>
    <t>https://www.datacentermap.com/c/samsung/</t>
  </si>
  <si>
    <t>https://www.datacentermap.com/south-korea/seoul/samsung-sds-suwon-ict-center/</t>
  </si>
  <si>
    <t>10 Samsung-ro 168beon-gil, Yeongtong-gu</t>
  </si>
  <si>
    <t>Samsung SDS</t>
  </si>
  <si>
    <t>Samsung SDS Suwon ICT Center</t>
  </si>
  <si>
    <t>Suwon-si</t>
  </si>
  <si>
    <t>https://www.datacentermap.com/visit/datacenter/hostway-seoul-metro/</t>
  </si>
  <si>
    <t>https://www.datacentermap.com/c/hostway-korea/</t>
  </si>
  <si>
    <t>https://www.datacentermap.com/south-korea/sungnam/hostway-seoul-metro/</t>
  </si>
  <si>
    <t>463-828</t>
  </si>
  <si>
    <t>Kyunggi-Do</t>
  </si>
  <si>
    <t>Sungnam</t>
  </si>
  <si>
    <t>343-1 Yatap-dong, Bundang-gu</t>
  </si>
  <si>
    <t>Hostway Korea</t>
  </si>
  <si>
    <t>Hostway Seoul Metro</t>
  </si>
  <si>
    <t>Sungnam-Si</t>
  </si>
  <si>
    <t>SEDS1</t>
  </si>
  <si>
    <t>https://www.datacentermap.com/visit/datacenter/pacnet-seds1/</t>
  </si>
  <si>
    <t>https://www.datacentermap.com/south-korea/seoul/pacnet-seds1/</t>
  </si>
  <si>
    <t>137-070</t>
  </si>
  <si>
    <t>gyeonggi</t>
  </si>
  <si>
    <t>1423 Seocho Dong Rd</t>
  </si>
  <si>
    <t>Telstra Seoul (SEDS1)</t>
  </si>
  <si>
    <t>https://www.datacentermap.com/visit/datacenter/telehouse-seoul/</t>
  </si>
  <si>
    <t>https://www.datacentermap.com/south-korea/seoul/telehouse-seoul/</t>
  </si>
  <si>
    <t>100-170</t>
  </si>
  <si>
    <t>Seoul Financial Center, 136 Sejong-daero</t>
  </si>
  <si>
    <t>TELEHOUSE Seoul</t>
  </si>
  <si>
    <t>https://www.datacentermap.com/visit/datacenter/samsung-sds-sangam-ict-center/</t>
  </si>
  <si>
    <t>https://www.datacentermap.com/south-korea/seoul/samsung-sds-sangam-ict-center/</t>
  </si>
  <si>
    <t>24 World Cup buk-ro 60-gil, Mapo-gu</t>
  </si>
  <si>
    <t>Samsung SDS Sangam ICT Center</t>
  </si>
  <si>
    <t>https://www.datacentermap.com/visit/datacenter/stt-seoul-1/</t>
  </si>
  <si>
    <t>https://www.datacentermap.com/south-korea/seoul/stt-seoul-1/</t>
  </si>
  <si>
    <t>SECRET, within Gasan-dong, Geumcheon-gu, Seoul, South Korea</t>
  </si>
  <si>
    <t>STT Seoul 1</t>
  </si>
  <si>
    <t>https://www.datacentermap.com/visit/datacenter/skbb-idc/</t>
  </si>
  <si>
    <t>https://www.datacentermap.com/c/sk-broadband/</t>
  </si>
  <si>
    <t>https://www.datacentermap.com/south-korea/seoul/skbb-idc/</t>
  </si>
  <si>
    <t>6 Beobwon-ro 1-gil, Seocho District</t>
  </si>
  <si>
    <t>SK Broadband</t>
  </si>
  <si>
    <t>SK Broadband IDC Seocho Center</t>
  </si>
  <si>
    <t>https://www.datacentermap.com/visit/datacenter/sk-broadband-idc-gasan-center/</t>
  </si>
  <si>
    <t>https://www.datacentermap.com/south-korea/seoul/sk-broadband-idc-gasan-center/</t>
  </si>
  <si>
    <t>80 Gasan-ro 9-gil, Geumcheon District</t>
  </si>
  <si>
    <t>SK Broadband IDC Gasan Center</t>
  </si>
  <si>
    <t>https://www.datacentermap.com/visit/datacenter/renet-idc/</t>
  </si>
  <si>
    <t>https://www.datacentermap.com/c/renet/</t>
  </si>
  <si>
    <t>https://www.datacentermap.com/south-korea/seoul/renet-idc/</t>
  </si>
  <si>
    <t>137-885</t>
  </si>
  <si>
    <t>1710-1 Seocho-dong</t>
  </si>
  <si>
    <t>Renet</t>
  </si>
  <si>
    <t>Netdedi.com SKBB IDC</t>
  </si>
  <si>
    <t>ICN-01 / SEL1</t>
  </si>
  <si>
    <t>https://www.datacentermap.com/visit/datacenter/netrealty-gasan-icn-01/</t>
  </si>
  <si>
    <t>https://www.datacentermap.com/c/netrealty/</t>
  </si>
  <si>
    <t>https://www.datacentermap.com/south-korea/seoul/netrealty-gasan-icn-01/</t>
  </si>
  <si>
    <t>32 Digital-ro 9-gil</t>
  </si>
  <si>
    <t>NETREALTY</t>
  </si>
  <si>
    <t>NETREALTY Gasan ICN-01</t>
  </si>
  <si>
    <t>https://www.datacentermap.com/visit/datacenter/moack/</t>
  </si>
  <si>
    <t>https://www.datacentermap.com/c/xima-networks/</t>
  </si>
  <si>
    <t>https://www.datacentermap.com/south-korea/seoul/moack/</t>
  </si>
  <si>
    <t>553-3 Dogok-dong, Gangnam-gu</t>
  </si>
  <si>
    <t>Moack</t>
  </si>
  <si>
    <t>Moack Data Center</t>
  </si>
  <si>
    <t>https://www.datacentermap.com/visit/datacenter/lotte-integrated-data-center/</t>
  </si>
  <si>
    <t>https://www.datacentermap.com/south-korea/seoul/lotte-integrated-data-center/</t>
  </si>
  <si>
    <t>179 Gasan digital 2-ro</t>
  </si>
  <si>
    <t>LOTTE Integrated Data Center</t>
  </si>
  <si>
    <t>https://www.datacentermap.com/visit/datacenter/lg-cns-sangam-it-center/</t>
  </si>
  <si>
    <t>https://www.datacentermap.com/south-korea/seoul/lg-cns-sangam-it-center/</t>
  </si>
  <si>
    <t>424 World Cup buk-ro, Mapo-gu</t>
  </si>
  <si>
    <t>LG CNS Sangam IT Center</t>
  </si>
  <si>
    <t>https://www.datacentermap.com/visit/datacenter/lg-gasan-digital-center/</t>
  </si>
  <si>
    <t>https://www.datacentermap.com/south-korea/seoul/lg-gasan-digital-center/</t>
  </si>
  <si>
    <t>189 Gasan digital 1-ro, Geumcheon-gu</t>
  </si>
  <si>
    <t>LG CNS Gasan Digital Center</t>
  </si>
  <si>
    <t>https://www.datacentermap.com/visit/datacenter/kdatacenter/</t>
  </si>
  <si>
    <t>https://www.datacentermap.com/c/kcinfra-inc/</t>
  </si>
  <si>
    <t>https://www.datacentermap.com/south-korea/seoul/kdatacenter/</t>
  </si>
  <si>
    <t>Kdatacenter</t>
  </si>
  <si>
    <t>https://www.datacentermap.com/visit/datacenter/kt-yeouido-dc/</t>
  </si>
  <si>
    <t>https://www.datacentermap.com/south-korea/seoul/kt-yeouido-dc/</t>
  </si>
  <si>
    <t>14, Yeoui-daero, Yeongdeungpo-gu</t>
  </si>
  <si>
    <t>KT Yeouido DC</t>
  </si>
  <si>
    <t>https://www.datacentermap.com/visit/datacenter/kt-mokdong-2nd-dc/</t>
  </si>
  <si>
    <t>https://www.datacentermap.com/south-korea/seoul/kt-mokdong-2nd-dc/</t>
  </si>
  <si>
    <t>323 Mokdongdong-ro, Yangcheon-Gu</t>
  </si>
  <si>
    <t>KT Mokdong 2nd DC</t>
  </si>
  <si>
    <t>https://www.datacentermap.com/visit/datacenter/kt-mokdong-idc/</t>
  </si>
  <si>
    <t>https://www.datacentermap.com/south-korea/seoul/kt-mokdong-idc/</t>
  </si>
  <si>
    <t>158-050</t>
  </si>
  <si>
    <t>924-4 Mokdong YangChunGu</t>
  </si>
  <si>
    <t>KT Mokdong 1st DC</t>
  </si>
  <si>
    <t>https://www.datacentermap.com/visit/datacenter/kt-gasan-idc/</t>
  </si>
  <si>
    <t>https://www.datacentermap.com/south-korea/seoul/kt-gasan-idc/</t>
  </si>
  <si>
    <t>23 Gasan digital 2-ro</t>
  </si>
  <si>
    <t>KT Gasan IDC</t>
  </si>
  <si>
    <t>https://www.datacentermap.com/visit/datacenter/kt-gangnam-dc/</t>
  </si>
  <si>
    <t>https://www.datacentermap.com/south-korea/seoul/kt-gangnam-dc/</t>
  </si>
  <si>
    <t>517, Eonju-ro, Gangnam-gu</t>
  </si>
  <si>
    <t>KT Gangnam DC</t>
  </si>
  <si>
    <t>https://www.datacentermap.com/visit/datacenter/k-square-data-centre/</t>
  </si>
  <si>
    <t>https://www.datacentermap.com/c/koramco-asset-management/</t>
  </si>
  <si>
    <t>https://www.datacentermap.com/south-korea/seoul/k-square-data-centre/</t>
  </si>
  <si>
    <t>319-19 Gasan-dong, Geumcheon District</t>
  </si>
  <si>
    <t>KORAMCO Asset Management</t>
  </si>
  <si>
    <t>K Square Data Centre</t>
  </si>
  <si>
    <t>https://www.datacentermap.com/visit/datacenter/guro-data-center/</t>
  </si>
  <si>
    <t>https://www.datacentermap.com/south-korea/seoul/guro-data-center/</t>
  </si>
  <si>
    <t>166-2 Gaebong-dong, Guro District, Seoul, South Korea</t>
  </si>
  <si>
    <t>Guro Data Center</t>
  </si>
  <si>
    <t>https://www.datacentermap.com/visit/datacenter/epsilon-global-hubs-seoul/</t>
  </si>
  <si>
    <t>https://www.datacentermap.com/south-korea/seoul/epsilon-global-hubs-seoul/</t>
  </si>
  <si>
    <t>61 Digital-ro 31-gil, Guro-gu</t>
  </si>
  <si>
    <t>Epsilon Global Hubs - Seoul</t>
  </si>
  <si>
    <t>https://www.datacentermap.com/visit/datacenter/epoch-yangpyeong-dong-data-center/</t>
  </si>
  <si>
    <t>https://www.datacentermap.com/south-korea/seoul/epoch-yangpyeong-dong-data-center/</t>
  </si>
  <si>
    <t>77-80 Yangpyeong-dong 3(sam)-ga</t>
  </si>
  <si>
    <t>Epoch Digital Yangpyeong-dong</t>
  </si>
  <si>
    <t>KR1</t>
  </si>
  <si>
    <t>https://www.datacentermap.com/visit/datacenter/empyrion-kr1-gangnam-data-centre/</t>
  </si>
  <si>
    <t>https://www.datacentermap.com/south-korea/seoul/empyrion-kr1-gangnam-data-centre/</t>
  </si>
  <si>
    <t>137-130</t>
  </si>
  <si>
    <t>224 Yangjae-dong</t>
  </si>
  <si>
    <t>Empyrion KR1 Gangnam Data Centre</t>
  </si>
  <si>
    <t>https://www.datacentermap.com/visit/datacenter/ehost-idc/</t>
  </si>
  <si>
    <t>https://www.datacentermap.com/c/ehost-idc/</t>
  </si>
  <si>
    <t>https://www.datacentermap.com/south-korea/seoul/ehost-idc/</t>
  </si>
  <si>
    <t>Gasan Digital 1-ro 189</t>
  </si>
  <si>
    <t>EhostIDC</t>
  </si>
  <si>
    <t>7F</t>
  </si>
  <si>
    <t>https://www.datacentermap.com/visit/datacenter/dreammark1-guro-idc/</t>
  </si>
  <si>
    <t>https://www.datacentermap.com/c/dreammark1-co-ltd/</t>
  </si>
  <si>
    <t>https://www.datacentermap.com/south-korea/seoul/dreammark1-guro-idc/</t>
  </si>
  <si>
    <t>61 Digital-ro 31-gil, Guro District</t>
  </si>
  <si>
    <t>Dreammark1 Co. Ltd.</t>
  </si>
  <si>
    <t>Dreammark1 Guro IDC</t>
  </si>
  <si>
    <t>SEL1</t>
  </si>
  <si>
    <t>https://www.datacentermap.com/visit/datacenter/digital-edge-seoul-sel1/</t>
  </si>
  <si>
    <t>https://www.datacentermap.com/south-korea/seoul/digital-edge-seoul-sel1/</t>
  </si>
  <si>
    <t>135-080</t>
  </si>
  <si>
    <t>646-1 Yeoksam-dong, Gangnam-gu</t>
  </si>
  <si>
    <t>Digital Edge - Seoul SEL1</t>
  </si>
  <si>
    <t>5F&amp;11F</t>
  </si>
  <si>
    <t>https://www.datacentermap.com/visit/datacenter/daou-mapo-idc/</t>
  </si>
  <si>
    <t>https://www.datacentermap.com/south-korea/seoul/daou-mapo-idc/</t>
  </si>
  <si>
    <t>Jaehwa Square, 311 Dongmak-ro, Mapo-gu</t>
  </si>
  <si>
    <t>DAOU Mapo IDC</t>
  </si>
  <si>
    <t>ICN10</t>
  </si>
  <si>
    <t>Mapo-Gu</t>
  </si>
  <si>
    <t>https://www.datacentermap.com/visit/datacenter/1588-sangam-dong/</t>
  </si>
  <si>
    <t>https://www.datacentermap.com/south-korea/seoul/1588-sangam-dong/</t>
  </si>
  <si>
    <t>1588 Sangam-Dong</t>
  </si>
  <si>
    <t>1588 Sangam-Dong (ICN10)</t>
  </si>
  <si>
    <t>https://www.datacentermap.com/visit/datacenter/sk-broadband-idc-bundang-center/</t>
  </si>
  <si>
    <t>https://www.datacentermap.com/south-korea/seoul/sk-broadband-idc-bundang-center/</t>
  </si>
  <si>
    <t>12 Seongnam-daero 2beon-gil</t>
  </si>
  <si>
    <t>SK Broadband IDC Bundang Center</t>
  </si>
  <si>
    <t>Seongnam-si</t>
  </si>
  <si>
    <t>https://www.datacentermap.com/visit/datacenter/kt-bundang-idc/</t>
  </si>
  <si>
    <t>https://www.datacentermap.com/south-korea/sungnam/kt-bundang-idc/</t>
  </si>
  <si>
    <t>343-2 Yatap-dong Bundang-gu</t>
  </si>
  <si>
    <t>KT Bundang DC</t>
  </si>
  <si>
    <t>Seongnam Si</t>
  </si>
  <si>
    <t>https://www.datacentermap.com/visit/datacenter/lgu-seocho1/</t>
  </si>
  <si>
    <t>https://www.datacentermap.com/c/lguplus/</t>
  </si>
  <si>
    <t>https://www.datacentermap.com/south-korea/seoul/lgu-seocho1/</t>
  </si>
  <si>
    <t>2481 Nambusunhwan-ro</t>
  </si>
  <si>
    <t>LGUplus</t>
  </si>
  <si>
    <t>LGU+ SEOCHO1</t>
  </si>
  <si>
    <t>Seocho</t>
  </si>
  <si>
    <t>https://www.datacentermap.com/visit/datacenter/amazon-aws-incheon/</t>
  </si>
  <si>
    <t>https://www.datacentermap.com/south-korea/incheon/amazon-aws-incheon/</t>
  </si>
  <si>
    <t>Incheon</t>
  </si>
  <si>
    <t>585-49/585-1 Gajwa-dong</t>
  </si>
  <si>
    <t>Amazon AWS - Incheon</t>
  </si>
  <si>
    <t>Seo-gu</t>
  </si>
  <si>
    <t>https://www.datacentermap.com/visit/datacenter/okestro-sejong/</t>
  </si>
  <si>
    <t>https://www.datacentermap.com/c/okestro-cloud/</t>
  </si>
  <si>
    <t>https://www.datacentermap.com/south-korea/sejong/okestro-sejong/</t>
  </si>
  <si>
    <t>Sejong</t>
  </si>
  <si>
    <t>194 Gareum-ro</t>
  </si>
  <si>
    <t>OKESTRO Cloud</t>
  </si>
  <si>
    <t>Okestro Sejong</t>
  </si>
  <si>
    <t>Sejong-si</t>
  </si>
  <si>
    <t>https://www.datacentermap.com/visit/datacenter/naver-gak-sejong/</t>
  </si>
  <si>
    <t>https://www.datacentermap.com/c/naver-cloud/</t>
  </si>
  <si>
    <t>https://www.datacentermap.com/south-korea/sejong/naver-gak-sejong/</t>
  </si>
  <si>
    <t>824 Haengbok-daero</t>
  </si>
  <si>
    <t>NAVER Cloud</t>
  </si>
  <si>
    <t>NAVER Gak Sejong</t>
  </si>
  <si>
    <t>https://www.datacentermap.com/visit/datacenter/lgu-paju/</t>
  </si>
  <si>
    <t>https://www.datacentermap.com/south-korea/seoul/lgu-paju/</t>
  </si>
  <si>
    <t>SECRET, within Paju, Gyeonggi-do</t>
  </si>
  <si>
    <t>LGU+ Paju</t>
  </si>
  <si>
    <t>Paju-si</t>
  </si>
  <si>
    <t>https://www.datacentermap.com/visit/datacenter/kakao-namyangju-data-center/</t>
  </si>
  <si>
    <t>https://www.datacentermap.com/c/kakao-corp/</t>
  </si>
  <si>
    <t>https://www.datacentermap.com/south-korea/seoul/kakao-namyangju-data-center/</t>
  </si>
  <si>
    <t>SECRET, within Namyangju-si</t>
  </si>
  <si>
    <t>Kakao Corp.</t>
  </si>
  <si>
    <t>Kakao Namyangju Data Center</t>
  </si>
  <si>
    <t>Namyangju-si</t>
  </si>
  <si>
    <t>https://www.datacentermap.com/visit/datacenter/amazon-aws-ulsan/</t>
  </si>
  <si>
    <t>https://www.datacentermap.com/south-korea/ulsan/amazon-aws-ulsan/</t>
  </si>
  <si>
    <t>Ulsan</t>
  </si>
  <si>
    <t>Mipo National Industrial Complex, Yongyeon-dong</t>
  </si>
  <si>
    <t>Amazon AWS - Ulsan</t>
  </si>
  <si>
    <t>Nam-gu</t>
  </si>
  <si>
    <t>https://www.datacentermap.com/visit/datacenter/kinx-sangam2-idc/</t>
  </si>
  <si>
    <t>https://www.datacentermap.com/c/kinx/</t>
  </si>
  <si>
    <t>https://www.datacentermap.com/south-korea/seoul/kinx-sangam2-idc/</t>
  </si>
  <si>
    <t>24, World Cup buk-ro 60-gil, Mapo-gu</t>
  </si>
  <si>
    <t>KINX Inc.</t>
  </si>
  <si>
    <t>KINX Sangam2 IDC (SA2)</t>
  </si>
  <si>
    <t>Mapo-gu</t>
  </si>
  <si>
    <t>https://www.datacentermap.com/visit/datacenter/kinx-sangam-center/</t>
  </si>
  <si>
    <t>https://www.datacentermap.com/south-korea/seoul/kinx-sangam-center/</t>
  </si>
  <si>
    <t>LG CNS Sangam IT Center, 424, World Cup buk-ro</t>
  </si>
  <si>
    <t>KINX Sangam1 IDC (SA1)</t>
  </si>
  <si>
    <t>SL1</t>
  </si>
  <si>
    <t>https://www.datacentermap.com/visit/datacenter/equinix-sl1/</t>
  </si>
  <si>
    <t>https://www.datacentermap.com/south-korea/seoul/equinix-sl1/</t>
  </si>
  <si>
    <t>24, Worldcupbukro 60-gil, Samsung SDS SangAm IT Center</t>
  </si>
  <si>
    <t>Equinix SL1</t>
  </si>
  <si>
    <t>https://www.datacentermap.com/visit/datacenter/sk-broadband/</t>
  </si>
  <si>
    <t>https://www.datacentermap.com/c/internet-brothers-south-korea/</t>
  </si>
  <si>
    <t>https://www.datacentermap.com/south-korea/seoul/sk-broadband/</t>
  </si>
  <si>
    <t>6, Beobwon-ro 1-gil, Seocho-gu, Seoul, 06595, Rep. of KOREA</t>
  </si>
  <si>
    <t>Internet Brothers South Korea</t>
  </si>
  <si>
    <t>Internet Brothers SK Data Center</t>
  </si>
  <si>
    <t>Kang nam</t>
  </si>
  <si>
    <t>ICN01A</t>
  </si>
  <si>
    <t>https://www.datacentermap.com/visit/datacenter/stack-infrastructure-icn01a/</t>
  </si>
  <si>
    <t>https://www.datacentermap.com/south-korea/seoul/stack-infrastructure-icn01a/</t>
  </si>
  <si>
    <t>27 Annam-ro 418beon-gil</t>
  </si>
  <si>
    <t>STACK Infrastructure ICN01A</t>
  </si>
  <si>
    <t>https://www.datacentermap.com/visit/datacenter/lg-cns-incheon-center/</t>
  </si>
  <si>
    <t>https://www.datacentermap.com/south-korea/incheon/lg-cns-incheon-center/</t>
  </si>
  <si>
    <t>23 Anaji-ro 213beon-gil</t>
  </si>
  <si>
    <t>LG CNS Incheon Center</t>
  </si>
  <si>
    <t>https://www.datacentermap.com/visit/datacenter/dreammark1-incheon-idc/</t>
  </si>
  <si>
    <t>https://www.datacentermap.com/south-korea/incheon/dreammark1-incheon-idc/</t>
  </si>
  <si>
    <t>541-2 Gajwa-dong, Seo-gu</t>
  </si>
  <si>
    <t>Dreammark1 Incheon IDC</t>
  </si>
  <si>
    <t>SEL2</t>
  </si>
  <si>
    <t>https://www.datacentermap.com/visit/datacenter/digital-edge-seoul-sel2/</t>
  </si>
  <si>
    <t>https://www.datacentermap.com/south-korea/seoul/digital-edge-seoul-sel2/</t>
  </si>
  <si>
    <t>403-858</t>
  </si>
  <si>
    <t>422 Cheongcheon-dong, Bupyeong-gu</t>
  </si>
  <si>
    <t>Digital Edge - Seoul SEL2</t>
  </si>
  <si>
    <t>https://www.datacentermap.com/visit/datacenter/samsung-sds-dongtan/</t>
  </si>
  <si>
    <t>https://www.datacentermap.com/south-korea/seongnam/samsung-sds-dongtan/</t>
  </si>
  <si>
    <t>14, Dongtan-daero 9na-gil</t>
  </si>
  <si>
    <t>Samsung SDS Dongtan</t>
  </si>
  <si>
    <t>Hwaseong-si</t>
  </si>
  <si>
    <t>https://www.datacentermap.com/visit/datacenter/lg-cns-hanam-kakao/</t>
  </si>
  <si>
    <t>https://www.datacentermap.com/south-korea/seoul/lg-cns-hanam-kakao/</t>
  </si>
  <si>
    <t>465-170</t>
  </si>
  <si>
    <t>607-2 Pungsan-dong</t>
  </si>
  <si>
    <t>LG CNS Hanam Kakao</t>
  </si>
  <si>
    <t>Hanam-si</t>
  </si>
  <si>
    <t>https://www.datacentermap.com/visit/datacenter/kakao-corp-hanam-data-center/</t>
  </si>
  <si>
    <t>https://www.datacentermap.com/south-korea/seoul/kakao-corp-hanam-data-center/</t>
  </si>
  <si>
    <t>Kakao Hanam Data Center</t>
  </si>
  <si>
    <t>https://www.datacentermap.com/visit/datacenter/hanam-kakao-data-center/</t>
  </si>
  <si>
    <t>https://www.datacentermap.com/c/macquarie-group/</t>
  </si>
  <si>
    <t>https://www.datacentermap.com/south-korea/seoul/hanam-kakao-data-center/</t>
  </si>
  <si>
    <t>Macquarie Group</t>
  </si>
  <si>
    <t>Hanam Kakao Data Center</t>
  </si>
  <si>
    <t>https://www.datacentermap.com/visit/datacenter/kinx-gwacheon-idc/</t>
  </si>
  <si>
    <t>https://www.datacentermap.com/south-korea/seoul/kinx-gwacheon-idc/</t>
  </si>
  <si>
    <t>34,Gwacheon-daero 7na-gil, Gwacheon-si</t>
  </si>
  <si>
    <t>KINX Gwacheon IDC (GC)</t>
  </si>
  <si>
    <t>Gyeonggi-do</t>
  </si>
  <si>
    <t>4th to 6th Floors</t>
  </si>
  <si>
    <t>https://www.datacentermap.com/visit/datacenter/gabia-gwacheon-data-centre/</t>
  </si>
  <si>
    <t>https://www.datacentermap.com/c/gabia-inc/</t>
  </si>
  <si>
    <t>https://www.datacentermap.com/south-korea/anyang/gabia-gwacheon-data-centre/</t>
  </si>
  <si>
    <t>Anyang</t>
  </si>
  <si>
    <t>34 Gwacheon-daero 7na-gil</t>
  </si>
  <si>
    <t>Gabia Inc.</t>
  </si>
  <si>
    <t>Gabia Gwacheon Data Centre</t>
  </si>
  <si>
    <t>Gwacheon</t>
  </si>
  <si>
    <t>https://www.datacentermap.com/visit/datacenter/samsung-sds-gumi-plant-one/</t>
  </si>
  <si>
    <t>https://www.datacentermap.com/south-korea/gumi/samsung-sds-gumi-plant-one/</t>
  </si>
  <si>
    <t>244 1gongdan-ro</t>
  </si>
  <si>
    <t>Samsung SDS Gumi Plant One</t>
  </si>
  <si>
    <t>Gumi-si</t>
  </si>
  <si>
    <t>https://www.datacentermap.com/visit/datacenter/sk-broadband-idc-ilsan-center/</t>
  </si>
  <si>
    <t>https://www.datacentermap.com/south-korea/seoul/sk-broadband-idc-ilsan-center/</t>
  </si>
  <si>
    <t>726 Janghang-dong, Ilsandong-gu</t>
  </si>
  <si>
    <t>SK Broadband IDC Ilsan Center</t>
  </si>
  <si>
    <t>Goyang-si</t>
  </si>
  <si>
    <t>ICN11</t>
  </si>
  <si>
    <t>https://www.datacentermap.com/visit/datacenter/6877-9-gurae-dong-icn11/</t>
  </si>
  <si>
    <t>https://www.datacentermap.com/south-korea/seoul/6877-9-gurae-dong-icn11/</t>
  </si>
  <si>
    <t>6877-9 Gurae-dong</t>
  </si>
  <si>
    <t>6877-9 Gurae-dong (ICN11)</t>
  </si>
  <si>
    <t>Gimpo-si</t>
  </si>
  <si>
    <t>https://www.datacentermap.com/visit/datacenter/kt-gimhae-dc/</t>
  </si>
  <si>
    <t>https://www.datacentermap.com/south-korea/busan/kt-gimhae-dc/</t>
  </si>
  <si>
    <t>Busan</t>
  </si>
  <si>
    <t>235-2, Bunseong-ro 3beon-gil, Gimhae-si, Gyeongsangnam-do</t>
  </si>
  <si>
    <t>KT Gimhae DC</t>
  </si>
  <si>
    <t>Gimhae-si</t>
  </si>
  <si>
    <t>https://www.datacentermap.com/visit/datacenter/kinx-gasan-center/</t>
  </si>
  <si>
    <t>https://www.datacentermap.com/south-korea/seoul/kinx-gasan-center/</t>
  </si>
  <si>
    <t>3F, 189, Gasan digital 1-ro</t>
  </si>
  <si>
    <t>KINX Gasan IDC (GS)</t>
  </si>
  <si>
    <t>Geumcheon-gu</t>
  </si>
  <si>
    <t>SEL01</t>
  </si>
  <si>
    <t>https://www.datacentermap.com/visit/datacenter/dci-seoul-01/</t>
  </si>
  <si>
    <t>https://www.datacentermap.com/south-korea/seoul/dci-seoul-01/</t>
  </si>
  <si>
    <t>459-3 Gasan-dong</t>
  </si>
  <si>
    <t>DCI Seoul 01</t>
  </si>
  <si>
    <t>Geumcheon</t>
  </si>
  <si>
    <t>https://www.datacentermap.com/visit/datacenter/dogok-idc/</t>
  </si>
  <si>
    <t>https://www.datacentermap.com/south-korea/seoul/dogok-idc/</t>
  </si>
  <si>
    <t>13 Eonju-ro 30-Gil</t>
  </si>
  <si>
    <t>KINX Dogok IDC (DG)</t>
  </si>
  <si>
    <t>Gangnam-gu</t>
  </si>
  <si>
    <t>SL4</t>
  </si>
  <si>
    <t>https://www.datacentermap.com/visit/datacenter/equinix-sl4/</t>
  </si>
  <si>
    <t>https://www.datacentermap.com/south-korea/seoul/equinix-sl4/</t>
  </si>
  <si>
    <t>585 Hyangdong-dong</t>
  </si>
  <si>
    <t>Equinix SL4</t>
  </si>
  <si>
    <t>Deogyang-gu</t>
  </si>
  <si>
    <t>SL3x</t>
  </si>
  <si>
    <t>https://www.datacentermap.com/visit/datacenter/equinix-sl3x/</t>
  </si>
  <si>
    <t>https://www.datacentermap.com/south-korea/seoul/equinix-sl3x/</t>
  </si>
  <si>
    <t>583 Hyangdong-dong</t>
  </si>
  <si>
    <t>Equinix SL3x</t>
  </si>
  <si>
    <t>SL2x</t>
  </si>
  <si>
    <t>https://www.datacentermap.com/visit/datacenter/equinix-sl2x/</t>
  </si>
  <si>
    <t>https://www.datacentermap.com/south-korea/seoul/equinix-sl2x/</t>
  </si>
  <si>
    <t>Equinix SL2x</t>
  </si>
  <si>
    <t>https://www.datacentermap.com/visit/datacenter/samsung-sds-chuncheon/</t>
  </si>
  <si>
    <t>https://www.datacentermap.com/south-korea/chuncheon/samsung-sds-chuncheon/</t>
  </si>
  <si>
    <t>Chuncheon</t>
  </si>
  <si>
    <t>409-14 Yetgyeongchun-ro</t>
  </si>
  <si>
    <t>Samsung SDS Chuncheon</t>
  </si>
  <si>
    <t>Chuncheon-si</t>
  </si>
  <si>
    <t>https://www.datacentermap.com/visit/datacenter/naver-gak-chuncheon/</t>
  </si>
  <si>
    <t>https://www.datacentermap.com/south-korea/chuncheon/naver-gak-chuncheon/</t>
  </si>
  <si>
    <t>1231 Sunhwan-daero, Dong-myeon</t>
  </si>
  <si>
    <t>NAVER Gak Chuncheon</t>
  </si>
  <si>
    <t>https://www.datacentermap.com/visit/datacenter/duzon/</t>
  </si>
  <si>
    <t>https://www.datacentermap.com/c/duzon/</t>
  </si>
  <si>
    <t>https://www.datacentermap.com/south-korea/chuncheon/duzon/</t>
  </si>
  <si>
    <t>Gangwon-do</t>
  </si>
  <si>
    <t>130 Beodeul 1-gil, Namsan-myeon</t>
  </si>
  <si>
    <t>Douzone</t>
  </si>
  <si>
    <t>Duzon IDC</t>
  </si>
  <si>
    <t>PUS05</t>
  </si>
  <si>
    <t>https://www.datacentermap.com/visit/datacenter/microsoft-busan-pus05/</t>
  </si>
  <si>
    <t>https://www.datacentermap.com/south-korea/busan/microsoft-busan-pus05/</t>
  </si>
  <si>
    <t>1278-5 Gurang-dong, Gangseo-gu</t>
  </si>
  <si>
    <t>Microsoft Busan (PUS05)</t>
  </si>
  <si>
    <t>https://www.datacentermap.com/visit/datacenter/lg-cns-busan-global-cloud-dc/</t>
  </si>
  <si>
    <t>https://www.datacentermap.com/south-korea/busan/lg-cns-busan-global-cloud-dc/</t>
  </si>
  <si>
    <t>153 Mieumsandan-ro, Gangseo-gu</t>
  </si>
  <si>
    <t>LG CNS Busan Global Cloud DC</t>
  </si>
  <si>
    <t>PUS1</t>
  </si>
  <si>
    <t>https://www.datacentermap.com/visit/datacenter/digital-edge-busan-pus1/</t>
  </si>
  <si>
    <t>https://www.datacentermap.com/south-korea/busan/digital-edge-busan-pus1/</t>
  </si>
  <si>
    <t>1453, Woo-dong, Haeundae-gu</t>
  </si>
  <si>
    <t>Digital Edge - Busan PUS1</t>
  </si>
  <si>
    <t>https://www.datacentermap.com/visit/datacenter/kinx-bundang2/</t>
  </si>
  <si>
    <t>https://www.datacentermap.com/south-korea/seoul/kinx-bundang2/</t>
  </si>
  <si>
    <t>12, Seongnam-daero 2beon-gil, Bundang-gu, Seongnam-si</t>
  </si>
  <si>
    <t>KINX Bundang2 IDC (BD2)</t>
  </si>
  <si>
    <t>Bundang-gu</t>
  </si>
  <si>
    <t>https://www.datacentermap.com/visit/datacenter/kinx-bundang-center/</t>
  </si>
  <si>
    <t>https://www.datacentermap.com/south-korea/seoul/kinx-bundang-center/</t>
  </si>
  <si>
    <t>36, Jangmi-ro</t>
  </si>
  <si>
    <t xml:space="preserve">KINX Bundang1 IDC (BD1) </t>
  </si>
  <si>
    <t>9th to 13th Floor</t>
  </si>
  <si>
    <t>https://www.datacentermap.com/visit/datacenter/naver-bucheon-ai-data-centre/</t>
  </si>
  <si>
    <t>https://www.datacentermap.com/south-korea/incheon/naver-bucheon-ai-data-centre/</t>
  </si>
  <si>
    <t>SECRET, within Bucheon R&amp;D Comprehensive Center</t>
  </si>
  <si>
    <t>NAVER Bucheon AI Data Centre</t>
  </si>
  <si>
    <t>Bucheon</t>
  </si>
  <si>
    <t>https://www.datacentermap.com/visit/datacenter/kt-bucheon-peach-dc/</t>
  </si>
  <si>
    <t>https://www.datacentermap.com/south-korea/incheon/kt-bucheon-peach-dc/</t>
  </si>
  <si>
    <t>13-15 Samjeong-dong</t>
  </si>
  <si>
    <t>KT Bucheon Peach DC</t>
  </si>
  <si>
    <t>https://www.datacentermap.com/visit/datacenter/kinx-pyeongchon1/</t>
  </si>
  <si>
    <t>https://www.datacentermap.com/south-korea/seoul/kinx-pyeongchon1/</t>
  </si>
  <si>
    <t>113, Beolmal-ro, Dongan-gu, Anyang-si</t>
  </si>
  <si>
    <t xml:space="preserve">KINX Pyeongchon IDC (PC) </t>
  </si>
  <si>
    <t>Anyang-si</t>
  </si>
  <si>
    <t>https://www.datacentermap.com/visit/datacenter/epoch-anyang-data-center/</t>
  </si>
  <si>
    <t>https://www.datacentermap.com/south-korea/seoul/epoch-anyang-data-center/</t>
  </si>
  <si>
    <t>126 LS-ro, Dongan-gu</t>
  </si>
  <si>
    <t>Epoch Digital Anyang</t>
  </si>
  <si>
    <t>https://www.datacentermap.com/visit/datacenter/lgu-pyeongchon-mega-centre/</t>
  </si>
  <si>
    <t>https://www.datacentermap.com/south-korea/anyang/lgu-pyeongchon-mega-centre/</t>
  </si>
  <si>
    <t>29 Simin-daero 327beon-gil</t>
  </si>
  <si>
    <t>LGU+ Pyeongchon Mega Centre</t>
  </si>
  <si>
    <t>https://www.datacentermap.com/visit/datacenter/kakao-ansan-data-center/</t>
  </si>
  <si>
    <t>https://www.datacentermap.com/south-korea/seoul/kakao-ansan-data-center/</t>
  </si>
  <si>
    <t>Gyeonggi Technopark</t>
  </si>
  <si>
    <t>Kakao Ansan Data Center</t>
  </si>
  <si>
    <t>Ansan-si</t>
  </si>
  <si>
    <t>https://www.datacentermap.com/visit/datacenter/dci-ansan/</t>
  </si>
  <si>
    <t>https://www.datacentermap.com/south-korea/seoul/dci-ansan/</t>
  </si>
  <si>
    <t>SECRET, within Seonggok-dong, Ansan</t>
  </si>
  <si>
    <t>DCI Ansan</t>
  </si>
  <si>
    <t>Ansan</t>
  </si>
  <si>
    <t>CAM</t>
    <phoneticPr fontId="10" type="noConversion"/>
  </si>
  <si>
    <t>NSM/TSM</t>
    <phoneticPr fontId="10" type="noConversion"/>
  </si>
  <si>
    <t>Regional</t>
    <phoneticPr fontId="10" type="noConversion"/>
  </si>
  <si>
    <t>Country</t>
    <phoneticPr fontId="10" type="noConversion"/>
  </si>
  <si>
    <t>Reginal Support</t>
    <phoneticPr fontId="10" type="noConversion"/>
  </si>
  <si>
    <t>Industrial Marketing (IM)</t>
    <phoneticPr fontId="10" type="noConversion"/>
  </si>
  <si>
    <t>APAC Management</t>
    <phoneticPr fontId="10" type="noConversion"/>
  </si>
  <si>
    <t>Column1</t>
  </si>
  <si>
    <t>No.</t>
  </si>
  <si>
    <t>데이터센터명</t>
  </si>
  <si>
    <t>회사명</t>
  </si>
  <si>
    <t>상세 주소</t>
  </si>
  <si>
    <t>대표번호</t>
  </si>
  <si>
    <t>타입</t>
  </si>
  <si>
    <t>Power (MW)</t>
  </si>
  <si>
    <t>PUE</t>
  </si>
  <si>
    <t>WUE</t>
  </si>
  <si>
    <t>Tier design</t>
  </si>
  <si>
    <t>서울특별시 금천구 가산동</t>
  </si>
  <si>
    <t>서울특별시 마포구 성암로 33</t>
  </si>
  <si>
    <t>1577-0365</t>
  </si>
  <si>
    <t>서울특별시 금천구 가산동 459-24</t>
  </si>
  <si>
    <t>서울특별시 금천구 가산디지털2로 179</t>
  </si>
  <si>
    <t>02-2626-4000</t>
  </si>
  <si>
    <t>서울특별시 양천구 목동동로 233-5</t>
  </si>
  <si>
    <t>080-300-0400</t>
  </si>
  <si>
    <t>서울특별시 양천구 목동중앙로 13</t>
  </si>
  <si>
    <t>서울특별시 금천구 가산디지털1로 188</t>
  </si>
  <si>
    <t>서울특별시 강남구 언주로 508</t>
  </si>
  <si>
    <t>서울특별시 구로구</t>
  </si>
  <si>
    <t>서울특별시 금천구 가산디지털1로 75</t>
  </si>
  <si>
    <t>1600-0108</t>
  </si>
  <si>
    <t>서울특별시 서초구 반포대로 13</t>
  </si>
  <si>
    <t>서울특별시 마포구 상암산로 76 (YTN타워)</t>
  </si>
  <si>
    <t>02-526-0900</t>
  </si>
  <si>
    <t>서울특별시 마포구 성암로 189 (중소기업DMC타워)</t>
  </si>
  <si>
    <t>서울특별시 강남구 논현로28길 18</t>
  </si>
  <si>
    <t>서울특별시 마포구 독막로 311</t>
  </si>
  <si>
    <t>1588-4259</t>
  </si>
  <si>
    <t>서울특별시 강남구 도곡동</t>
  </si>
  <si>
    <t>서울특별시 중구 세종대로 9</t>
  </si>
  <si>
    <t>02-3788-0114</t>
  </si>
  <si>
    <t>서울특별시 금천구 가산디지털1로 189</t>
  </si>
  <si>
    <t>02-2026-0114</t>
  </si>
  <si>
    <t>서울특별시 마포구 성암로 330</t>
  </si>
  <si>
    <t>LG U+</t>
  </si>
  <si>
    <t>서울특별시 서초구 서초대로 310</t>
  </si>
  <si>
    <t>1544-0001</t>
  </si>
  <si>
    <t>서울특별시 강남구 역삼로 141</t>
  </si>
  <si>
    <t>02-553-6110</t>
  </si>
  <si>
    <t>1566-8737</t>
  </si>
  <si>
    <t>서울특별시 구로구 디지털로33길 11</t>
  </si>
  <si>
    <t>02-2105-2000</t>
  </si>
  <si>
    <t>서울특별시 서초구 서초동</t>
  </si>
  <si>
    <t>Empyrion Digital KR1 Data Centre</t>
  </si>
  <si>
    <t>서울특별시 서초구 강남대로 27</t>
  </si>
  <si>
    <t>Digital Realty 1588 Sangam-Dong (ICN10)</t>
  </si>
  <si>
    <t>서울특별시 마포구 월드컵북로 434</t>
  </si>
  <si>
    <t>02-6277-2200</t>
  </si>
  <si>
    <t>서울특별시 영등포구 양평동</t>
  </si>
  <si>
    <t>서울특별시 마포구 상암산로 76</t>
  </si>
  <si>
    <t>02-6205-0400</t>
  </si>
  <si>
    <t>인천광역시 부평구 청천동</t>
  </si>
  <si>
    <t>경기도 고양시 일산동구 정발산로 24</t>
  </si>
  <si>
    <t>경기도 성남시 분당구 성남대로 55</t>
  </si>
  <si>
    <t>경기도 수원시 영통구 삼성로 268</t>
  </si>
  <si>
    <t>LG CNS Samsong Campus</t>
  </si>
  <si>
    <t>경기도 고양시 덕양구 오금동</t>
  </si>
  <si>
    <t>LG CNS Samsong - Building A</t>
  </si>
  <si>
    <t>LG CNS Samsong - Building B</t>
  </si>
  <si>
    <t>경기도 하남시 미사강변한강로 135</t>
  </si>
  <si>
    <t>경기도 용인시 수지구 죽전동</t>
  </si>
  <si>
    <t>경기도 과천시 과천대로7길 45</t>
  </si>
  <si>
    <t>DC Connects Soul01</t>
  </si>
  <si>
    <t>경기도 용인시 처인구 백암면 덕성리</t>
  </si>
  <si>
    <t>경기도 고양시 덕양구 향동동</t>
  </si>
  <si>
    <t>경기도 화성시 동탄기흥로</t>
  </si>
  <si>
    <t>경기도 용인시 기흥구 마북로 154</t>
  </si>
  <si>
    <t>경기도 용인시 수지구 디지털밸리로 81</t>
  </si>
  <si>
    <t>인천광역시 계양구 아나지로 437</t>
  </si>
  <si>
    <t>YIDO Wonchang-dong</t>
  </si>
  <si>
    <t>YIDO</t>
  </si>
  <si>
    <t>인천광역시 서구 원창동</t>
  </si>
  <si>
    <t>인천광역시 서구 가좌동</t>
  </si>
  <si>
    <t>hyperscaler</t>
  </si>
  <si>
    <t>HJSC Wonchang-dong</t>
  </si>
  <si>
    <t>HJ Shipbuilding &amp; Construction</t>
  </si>
  <si>
    <t>Shinsegae I&amp;C Data Center</t>
  </si>
  <si>
    <t>Shinsegae I&amp;C</t>
  </si>
  <si>
    <t>경기도 김포시 김포한강7로 79</t>
  </si>
  <si>
    <t>02-3406-0300</t>
  </si>
  <si>
    <t>경기도 부천시 오정구 삼정동</t>
  </si>
  <si>
    <t>경기도 부천시 원미구 춘의동</t>
  </si>
  <si>
    <t>경기도 안양시 동안구</t>
  </si>
  <si>
    <t>경기도 안양시 동안구 시민대로327번길 115</t>
  </si>
  <si>
    <t>세종특별자치시 집현중앙7로 86</t>
  </si>
  <si>
    <t>1544-5876</t>
  </si>
  <si>
    <t>세종특별자치시 집현동</t>
  </si>
  <si>
    <t>Kakao Corp</t>
  </si>
  <si>
    <t>경기도 안산시 상록구 한양대학로 55</t>
  </si>
  <si>
    <t>1577-3321</t>
  </si>
  <si>
    <t>경기도 파주시</t>
  </si>
  <si>
    <t>부산광역시 해운대구 우동 1453</t>
  </si>
  <si>
    <t>부산광역시 강서구 미음산단로 153</t>
  </si>
  <si>
    <t>부산광역시 강서구 구랑동 1278-5</t>
  </si>
  <si>
    <t>경상남도 김해시 분성로3번길 235-2</t>
  </si>
  <si>
    <t>Koscom Busan IDC</t>
  </si>
  <si>
    <t>Koscom</t>
  </si>
  <si>
    <t>부산광역시 동구 범일동 828-9</t>
  </si>
  <si>
    <t>강원도 춘천시 동면 순환대로 1231</t>
  </si>
  <si>
    <t>강원도 춘천시 옛경춘로 409-14</t>
  </si>
  <si>
    <t>강원도 춘천시 남산면 버들1길 130</t>
  </si>
  <si>
    <t>경상북도 예천군 호명면 금능리 832</t>
  </si>
  <si>
    <t>경상북도 구미시 1공단로 244</t>
  </si>
  <si>
    <t>AI Daegu Data Center</t>
  </si>
  <si>
    <t>Inuverse</t>
  </si>
  <si>
    <t>경상북도 영천시 남성리 485</t>
  </si>
  <si>
    <t>SGC Gunsan</t>
  </si>
  <si>
    <t>SGC Group</t>
  </si>
  <si>
    <t>전북특별자치도 군산시 외항로 1331</t>
  </si>
  <si>
    <t>강원도 영월군</t>
  </si>
  <si>
    <t>울산광역시 남구 용연동 미포국가산업단지</t>
  </si>
  <si>
    <t>경기도 성남시 분당구 야탑동 343-1</t>
  </si>
  <si>
    <t>경기도 성남시 분당구 야탑동 343-2</t>
  </si>
  <si>
    <t>KINX Bundang1 IDC (BD1)</t>
  </si>
  <si>
    <t>경기도 성남시 분당구 장미로 36</t>
  </si>
  <si>
    <t>SK Broadband CDC Pangyo</t>
  </si>
  <si>
    <t>경기도 성남시 분당구 판교로255번길 46</t>
  </si>
  <si>
    <t>경기도 용인시 기흥구 마북동 102-18</t>
  </si>
  <si>
    <t>Sejong Telecom</t>
  </si>
  <si>
    <t>경기도 용인시 수지구 동천동 용구대로2771번길 85</t>
  </si>
  <si>
    <t>경기도 성남시 분당구 성남대로2번길 12</t>
  </si>
  <si>
    <t>서울특별시 영등포구 여의대로 14</t>
  </si>
  <si>
    <t>서울특별시 용산구 원효로41길 33</t>
  </si>
  <si>
    <t>Okestro Yeouido</t>
  </si>
  <si>
    <t>서울특별시 영등포구 여의대로 108</t>
  </si>
  <si>
    <t>Digital Realty 6877-9 Gurae-dong (ICN11)</t>
  </si>
  <si>
    <t>경기도 김포시 구래동 6877-9</t>
  </si>
  <si>
    <t>경기도 남양주시 왕숙도시첨단산업단지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</si>
</sst>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11"/>
      <color theme="1"/>
      <name val="맑은 고딕"/>
      <family val="2"/>
      <scheme val="minor"/>
    </font>
    <font>
      <b/>
      <sz val="11"/>
      <color theme="0"/>
      <name val="맑은 고딕"/>
      <family val="2"/>
      <scheme val="minor"/>
    </font>
    <font>
      <sz val="11"/>
      <name val="맑은 고딕"/>
      <family val="2"/>
      <scheme val="minor"/>
    </font>
    <font>
      <u/>
      <sz val="11"/>
      <color theme="1"/>
      <name val="맑은 고딕"/>
      <family val="2"/>
      <scheme val="minor"/>
    </font>
    <font>
      <sz val="8"/>
      <name val="맑은 고딕"/>
      <family val="3"/>
      <charset val="129"/>
      <scheme val="minor"/>
    </font>
    <font>
      <sz val="12"/>
      <color theme="1"/>
      <name val="맑은 고딕"/>
      <family val="2"/>
      <scheme val="minor"/>
    </font>
    <font>
      <sz val="12"/>
      <color theme="1"/>
      <name val="맑은 고딕"/>
      <family val="3"/>
      <charset val="129"/>
      <scheme val="minor"/>
    </font>
    <font>
      <sz val="11"/>
      <color rgb="FFFF0000"/>
      <name val="맑은 고딕"/>
      <family val="2"/>
      <scheme val="minor"/>
    </font>
    <font>
      <strike/>
      <sz val="11"/>
      <color theme="1"/>
      <name val="맑은 고딕"/>
      <family val="2"/>
      <scheme val="minor"/>
    </font>
    <font>
      <sz val="9"/>
      <name val="맑은 고딕"/>
      <family val="3"/>
      <charset val="134"/>
      <scheme val="minor"/>
    </font>
    <font>
      <b/>
      <sz val="12"/>
      <color theme="1"/>
      <name val="맑은 고딕"/>
      <family val="3"/>
      <charset val="134"/>
      <scheme val="minor"/>
    </font>
  </fonts>
  <fills count="14">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7" tint="0.59999389629810485"/>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applyAlignment="1">
      <alignment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quotePrefix="1" applyFill="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4" borderId="1" xfId="0" quotePrefix="1" applyFill="1" applyBorder="1" applyAlignment="1">
      <alignment vertical="center" wrapText="1"/>
    </xf>
    <xf numFmtId="0" fontId="2" fillId="2" borderId="2"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4" borderId="3" xfId="0" applyFill="1" applyBorder="1" applyAlignment="1">
      <alignment horizontal="center" vertical="center" wrapText="1"/>
    </xf>
    <xf numFmtId="0" fontId="3" fillId="3"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3"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8" borderId="3" xfId="0" applyFill="1" applyBorder="1" applyAlignment="1">
      <alignment horizontal="center" vertical="center" wrapText="1"/>
    </xf>
    <xf numFmtId="0" fontId="8" fillId="3" borderId="1" xfId="0" applyFont="1" applyFill="1" applyBorder="1" applyAlignment="1">
      <alignment horizontal="left" vertical="center" wrapText="1"/>
    </xf>
    <xf numFmtId="20" fontId="0" fillId="0" borderId="0" xfId="0" applyNumberFormat="1" applyAlignment="1">
      <alignment vertical="center"/>
    </xf>
    <xf numFmtId="0" fontId="0" fillId="0" borderId="0" xfId="0" quotePrefix="1" applyAlignment="1">
      <alignment vertical="center" wrapText="1"/>
    </xf>
    <xf numFmtId="0" fontId="1" fillId="0" borderId="7" xfId="0" applyFont="1" applyBorder="1" applyAlignment="1">
      <alignment horizontal="center" vertical="top"/>
    </xf>
    <xf numFmtId="0" fontId="11" fillId="0" borderId="0" xfId="0" applyFont="1" applyAlignment="1">
      <alignment vertical="center"/>
    </xf>
    <xf numFmtId="0" fontId="6"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0" borderId="6" xfId="0" quotePrefix="1" applyBorder="1" applyAlignment="1">
      <alignment horizontal="center" vertical="center" wrapText="1"/>
    </xf>
    <xf numFmtId="0" fontId="11" fillId="11" borderId="0" xfId="0" applyFont="1" applyFill="1" applyAlignment="1">
      <alignment horizontal="center" vertical="center"/>
    </xf>
    <xf numFmtId="0" fontId="11" fillId="12" borderId="0" xfId="0" applyFont="1" applyFill="1" applyAlignment="1">
      <alignment horizontal="center" vertical="center"/>
    </xf>
    <xf numFmtId="0" fontId="11" fillId="10" borderId="0" xfId="0" applyFont="1" applyFill="1" applyAlignment="1">
      <alignment horizontal="center" vertical="center"/>
    </xf>
    <xf numFmtId="0" fontId="11" fillId="13" borderId="0" xfId="0" applyFont="1" applyFill="1" applyAlignment="1">
      <alignment horizontal="center" vertical="center"/>
    </xf>
    <xf numFmtId="0" fontId="11" fillId="9" borderId="0" xfId="0" applyFont="1" applyFill="1" applyAlignment="1">
      <alignment horizontal="center" vertical="center"/>
    </xf>
    <xf numFmtId="0" fontId="11" fillId="3" borderId="0" xfId="0" applyFont="1" applyFill="1" applyAlignment="1">
      <alignment horizontal="center" vertical="center"/>
    </xf>
    <xf numFmtId="0"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
  <sheetViews>
    <sheetView topLeftCell="M7" zoomScaleNormal="100" workbookViewId="0">
      <selection activeCell="R10" sqref="R10"/>
    </sheetView>
  </sheetViews>
  <sheetFormatPr defaultColWidth="9" defaultRowHeight="17" x14ac:dyDescent="0.45"/>
  <cols>
    <col min="1" max="1" width="9.9140625" style="11" bestFit="1" customWidth="1"/>
    <col min="2" max="2" width="33" style="11" customWidth="1"/>
    <col min="3" max="3" width="16.6640625" style="11" customWidth="1"/>
    <col min="4" max="4" width="42.83203125" style="10" customWidth="1"/>
    <col min="5" max="5" width="97.75" style="10" customWidth="1"/>
    <col min="6" max="6" width="22.4140625" style="11" customWidth="1"/>
    <col min="7" max="7" width="16.08203125" style="11" customWidth="1"/>
    <col min="8" max="8" width="13.75" style="11" bestFit="1" customWidth="1"/>
    <col min="9" max="9" width="12.33203125" style="11" bestFit="1" customWidth="1"/>
    <col min="10" max="10" width="11" style="11" customWidth="1"/>
    <col min="11" max="11" width="16.75" style="11" customWidth="1"/>
    <col min="12" max="12" width="20.4140625" style="11" bestFit="1" customWidth="1"/>
    <col min="13" max="16" width="20.4140625" style="11" customWidth="1"/>
    <col min="17" max="18" width="18.5" style="11" customWidth="1"/>
    <col min="19" max="19" width="39" style="10" customWidth="1"/>
    <col min="20" max="16384" width="9" style="10"/>
  </cols>
  <sheetData>
    <row r="1" spans="1:19" ht="29.25" customHeight="1" x14ac:dyDescent="0.45">
      <c r="A1" s="9" t="s">
        <v>39</v>
      </c>
      <c r="B1" s="9" t="s">
        <v>0</v>
      </c>
      <c r="C1" s="9" t="s">
        <v>64</v>
      </c>
      <c r="D1" s="9" t="s">
        <v>10</v>
      </c>
      <c r="E1" s="9" t="s">
        <v>4</v>
      </c>
      <c r="F1" s="9" t="s">
        <v>36</v>
      </c>
      <c r="G1" s="9" t="s">
        <v>1</v>
      </c>
      <c r="H1" s="9" t="s">
        <v>2</v>
      </c>
      <c r="I1" s="9" t="s">
        <v>3</v>
      </c>
      <c r="J1" s="9" t="s">
        <v>50</v>
      </c>
      <c r="K1" s="9" t="s">
        <v>99</v>
      </c>
      <c r="L1" s="9" t="s">
        <v>70</v>
      </c>
      <c r="M1" s="9" t="s">
        <v>103</v>
      </c>
      <c r="N1" s="9" t="s">
        <v>106</v>
      </c>
      <c r="O1" s="9" t="s">
        <v>107</v>
      </c>
      <c r="P1" s="9" t="s">
        <v>108</v>
      </c>
      <c r="Q1" s="9" t="s">
        <v>78</v>
      </c>
      <c r="R1" s="9" t="s">
        <v>93</v>
      </c>
      <c r="S1" s="9" t="s">
        <v>5</v>
      </c>
    </row>
    <row r="2" spans="1:19" ht="51" x14ac:dyDescent="0.45">
      <c r="A2" s="2">
        <v>1</v>
      </c>
      <c r="B2" s="2" t="s">
        <v>44</v>
      </c>
      <c r="C2" s="2">
        <v>45</v>
      </c>
      <c r="D2" s="3" t="s">
        <v>6</v>
      </c>
      <c r="E2" s="4" t="s">
        <v>45</v>
      </c>
      <c r="F2" s="5" t="s">
        <v>87</v>
      </c>
      <c r="G2" s="2" t="s">
        <v>15</v>
      </c>
      <c r="H2" s="2" t="s">
        <v>8</v>
      </c>
      <c r="I2" s="2" t="s">
        <v>9</v>
      </c>
      <c r="J2" s="5" t="s">
        <v>51</v>
      </c>
      <c r="K2" s="14" t="s">
        <v>100</v>
      </c>
      <c r="L2" s="5" t="s">
        <v>71</v>
      </c>
      <c r="M2" s="14" t="s">
        <v>104</v>
      </c>
      <c r="N2" s="14" t="s">
        <v>110</v>
      </c>
      <c r="O2" s="28" t="s">
        <v>109</v>
      </c>
      <c r="P2" s="31" t="s">
        <v>105</v>
      </c>
      <c r="Q2" s="5" t="s">
        <v>79</v>
      </c>
      <c r="R2" s="14" t="s">
        <v>79</v>
      </c>
      <c r="S2" s="5" t="s">
        <v>46</v>
      </c>
    </row>
    <row r="3" spans="1:19" ht="68" x14ac:dyDescent="0.45">
      <c r="A3" s="6">
        <v>2</v>
      </c>
      <c r="B3" s="6" t="s">
        <v>13</v>
      </c>
      <c r="C3" s="6">
        <v>90</v>
      </c>
      <c r="D3" s="7" t="s">
        <v>14</v>
      </c>
      <c r="E3" s="8" t="s">
        <v>17</v>
      </c>
      <c r="F3" s="6" t="s">
        <v>88</v>
      </c>
      <c r="G3" s="6" t="s">
        <v>15</v>
      </c>
      <c r="H3" s="6" t="s">
        <v>12</v>
      </c>
      <c r="I3" s="6" t="s">
        <v>9</v>
      </c>
      <c r="J3" s="6" t="s">
        <v>51</v>
      </c>
      <c r="K3" s="14" t="s">
        <v>100</v>
      </c>
      <c r="L3" s="6" t="s">
        <v>75</v>
      </c>
      <c r="M3" s="14" t="s">
        <v>104</v>
      </c>
      <c r="N3" s="14" t="s">
        <v>110</v>
      </c>
      <c r="O3" s="29"/>
      <c r="P3" s="32"/>
      <c r="Q3" s="6" t="s">
        <v>79</v>
      </c>
      <c r="R3" s="14" t="s">
        <v>79</v>
      </c>
      <c r="S3" s="6" t="s">
        <v>16</v>
      </c>
    </row>
    <row r="4" spans="1:19" ht="102" x14ac:dyDescent="0.45">
      <c r="A4" s="2">
        <v>3</v>
      </c>
      <c r="B4" s="5" t="s">
        <v>59</v>
      </c>
      <c r="C4" s="2">
        <v>45</v>
      </c>
      <c r="D4" s="3" t="s">
        <v>18</v>
      </c>
      <c r="E4" s="4" t="s">
        <v>40</v>
      </c>
      <c r="F4" s="5" t="s">
        <v>11</v>
      </c>
      <c r="G4" s="2" t="s">
        <v>12</v>
      </c>
      <c r="H4" s="2" t="s">
        <v>12</v>
      </c>
      <c r="I4" s="2" t="s">
        <v>12</v>
      </c>
      <c r="J4" s="5" t="s">
        <v>51</v>
      </c>
      <c r="K4" s="14" t="s">
        <v>100</v>
      </c>
      <c r="L4" s="5" t="s">
        <v>72</v>
      </c>
      <c r="M4" s="14" t="s">
        <v>104</v>
      </c>
      <c r="N4" s="14" t="s">
        <v>110</v>
      </c>
      <c r="O4" s="29"/>
      <c r="P4" s="32"/>
      <c r="Q4" s="5" t="s">
        <v>84</v>
      </c>
      <c r="R4" s="14" t="s">
        <v>94</v>
      </c>
      <c r="S4" s="5" t="s">
        <v>22</v>
      </c>
    </row>
    <row r="5" spans="1:19" ht="85" x14ac:dyDescent="0.45">
      <c r="A5" s="6">
        <v>4</v>
      </c>
      <c r="B5" s="6" t="s">
        <v>48</v>
      </c>
      <c r="C5" s="6">
        <v>90</v>
      </c>
      <c r="D5" s="7" t="s">
        <v>19</v>
      </c>
      <c r="E5" s="8" t="s">
        <v>92</v>
      </c>
      <c r="F5" s="6" t="s">
        <v>23</v>
      </c>
      <c r="G5" s="6" t="s">
        <v>20</v>
      </c>
      <c r="H5" s="6" t="s">
        <v>20</v>
      </c>
      <c r="I5" s="6" t="s">
        <v>9</v>
      </c>
      <c r="J5" s="6" t="s">
        <v>52</v>
      </c>
      <c r="K5" s="14" t="s">
        <v>52</v>
      </c>
      <c r="L5" s="6" t="s">
        <v>73</v>
      </c>
      <c r="M5" s="14" t="s">
        <v>104</v>
      </c>
      <c r="N5" s="14" t="s">
        <v>110</v>
      </c>
      <c r="O5" s="29"/>
      <c r="P5" s="32"/>
      <c r="Q5" s="6" t="s">
        <v>85</v>
      </c>
      <c r="R5" s="14" t="s">
        <v>95</v>
      </c>
      <c r="S5" s="6" t="s">
        <v>21</v>
      </c>
    </row>
    <row r="6" spans="1:19" ht="85" x14ac:dyDescent="0.45">
      <c r="A6" s="2">
        <v>5</v>
      </c>
      <c r="B6" s="5" t="s">
        <v>27</v>
      </c>
      <c r="C6" s="2">
        <v>90</v>
      </c>
      <c r="D6" s="3" t="s">
        <v>24</v>
      </c>
      <c r="E6" s="4" t="s">
        <v>65</v>
      </c>
      <c r="F6" s="5" t="s">
        <v>26</v>
      </c>
      <c r="G6" s="2" t="s">
        <v>20</v>
      </c>
      <c r="H6" s="2" t="s">
        <v>9</v>
      </c>
      <c r="I6" s="2" t="s">
        <v>9</v>
      </c>
      <c r="J6" s="5" t="s">
        <v>52</v>
      </c>
      <c r="K6" s="14" t="s">
        <v>52</v>
      </c>
      <c r="L6" s="5" t="s">
        <v>74</v>
      </c>
      <c r="M6" s="14" t="s">
        <v>104</v>
      </c>
      <c r="N6" s="14" t="s">
        <v>110</v>
      </c>
      <c r="O6" s="29"/>
      <c r="P6" s="32"/>
      <c r="Q6" s="5" t="s">
        <v>86</v>
      </c>
      <c r="R6" s="14" t="s">
        <v>111</v>
      </c>
      <c r="S6" s="5" t="s">
        <v>25</v>
      </c>
    </row>
    <row r="7" spans="1:19" ht="80.25" customHeight="1" x14ac:dyDescent="0.45">
      <c r="A7" s="6">
        <v>6</v>
      </c>
      <c r="B7" s="6" t="s">
        <v>43</v>
      </c>
      <c r="C7" s="6">
        <v>60</v>
      </c>
      <c r="D7" s="7" t="s">
        <v>35</v>
      </c>
      <c r="E7" s="8" t="s">
        <v>41</v>
      </c>
      <c r="F7" s="6" t="s">
        <v>54</v>
      </c>
      <c r="G7" s="6" t="s">
        <v>12</v>
      </c>
      <c r="H7" s="6" t="s">
        <v>9</v>
      </c>
      <c r="I7" s="6" t="s">
        <v>9</v>
      </c>
      <c r="J7" s="6" t="s">
        <v>52</v>
      </c>
      <c r="K7" s="14" t="s">
        <v>52</v>
      </c>
      <c r="L7" s="6" t="s">
        <v>74</v>
      </c>
      <c r="M7" s="14" t="s">
        <v>104</v>
      </c>
      <c r="N7" s="14" t="s">
        <v>110</v>
      </c>
      <c r="O7" s="29"/>
      <c r="P7" s="32"/>
      <c r="Q7" s="6" t="s">
        <v>80</v>
      </c>
      <c r="R7" s="14" t="s">
        <v>96</v>
      </c>
      <c r="S7" s="6" t="s">
        <v>38</v>
      </c>
    </row>
    <row r="8" spans="1:19" ht="34" x14ac:dyDescent="0.45">
      <c r="A8" s="2">
        <v>7</v>
      </c>
      <c r="B8" s="13" t="s">
        <v>56</v>
      </c>
      <c r="C8" s="2">
        <v>90</v>
      </c>
      <c r="D8" s="3"/>
      <c r="E8" s="4" t="s">
        <v>60</v>
      </c>
      <c r="F8" s="5" t="s">
        <v>67</v>
      </c>
      <c r="G8" s="2" t="s">
        <v>66</v>
      </c>
      <c r="H8" s="2" t="s">
        <v>9</v>
      </c>
      <c r="I8" s="2" t="s">
        <v>9</v>
      </c>
      <c r="J8" s="5" t="s">
        <v>52</v>
      </c>
      <c r="K8" s="14" t="s">
        <v>52</v>
      </c>
      <c r="L8" s="5" t="s">
        <v>74</v>
      </c>
      <c r="M8" s="14" t="s">
        <v>104</v>
      </c>
      <c r="N8" s="14" t="s">
        <v>110</v>
      </c>
      <c r="O8" s="29"/>
      <c r="P8" s="32"/>
      <c r="Q8" s="5" t="s">
        <v>81</v>
      </c>
      <c r="R8" s="14" t="s">
        <v>81</v>
      </c>
      <c r="S8" s="5" t="s">
        <v>61</v>
      </c>
    </row>
    <row r="9" spans="1:19" ht="51" x14ac:dyDescent="0.45">
      <c r="A9" s="6">
        <v>8</v>
      </c>
      <c r="B9" s="6" t="s">
        <v>30</v>
      </c>
      <c r="C9" s="6">
        <v>60</v>
      </c>
      <c r="D9" s="7" t="s">
        <v>31</v>
      </c>
      <c r="E9" s="8" t="s">
        <v>47</v>
      </c>
      <c r="F9" s="6" t="s">
        <v>7</v>
      </c>
      <c r="G9" s="6" t="s">
        <v>12</v>
      </c>
      <c r="H9" s="6" t="s">
        <v>12</v>
      </c>
      <c r="I9" s="6" t="s">
        <v>9</v>
      </c>
      <c r="J9" s="6" t="s">
        <v>58</v>
      </c>
      <c r="K9" s="14" t="s">
        <v>101</v>
      </c>
      <c r="L9" s="6" t="s">
        <v>76</v>
      </c>
      <c r="M9" s="14" t="s">
        <v>104</v>
      </c>
      <c r="N9" s="14" t="s">
        <v>110</v>
      </c>
      <c r="O9" s="29"/>
      <c r="P9" s="32"/>
      <c r="Q9" s="6" t="s">
        <v>89</v>
      </c>
      <c r="R9" s="14" t="s">
        <v>89</v>
      </c>
      <c r="S9" s="6" t="s">
        <v>32</v>
      </c>
    </row>
    <row r="10" spans="1:19" ht="68" x14ac:dyDescent="0.45">
      <c r="A10" s="2">
        <v>9</v>
      </c>
      <c r="B10" s="5" t="s">
        <v>55</v>
      </c>
      <c r="C10" s="2">
        <v>90</v>
      </c>
      <c r="D10" s="3" t="s">
        <v>33</v>
      </c>
      <c r="E10" s="4" t="s">
        <v>57</v>
      </c>
      <c r="F10" s="5" t="s">
        <v>37</v>
      </c>
      <c r="G10" s="2" t="s">
        <v>20</v>
      </c>
      <c r="H10" s="2" t="s">
        <v>12</v>
      </c>
      <c r="I10" s="2" t="s">
        <v>9</v>
      </c>
      <c r="J10" s="5" t="s">
        <v>52</v>
      </c>
      <c r="K10" s="14" t="s">
        <v>113</v>
      </c>
      <c r="L10" s="5" t="s">
        <v>76</v>
      </c>
      <c r="M10" s="14" t="s">
        <v>104</v>
      </c>
      <c r="N10" s="14" t="s">
        <v>110</v>
      </c>
      <c r="O10" s="29"/>
      <c r="P10" s="32"/>
      <c r="Q10" s="5" t="s">
        <v>82</v>
      </c>
      <c r="R10" s="14" t="s">
        <v>112</v>
      </c>
      <c r="S10" s="5" t="s">
        <v>34</v>
      </c>
    </row>
    <row r="11" spans="1:19" ht="68" x14ac:dyDescent="0.45">
      <c r="A11" s="12">
        <v>10</v>
      </c>
      <c r="B11" s="12" t="s">
        <v>28</v>
      </c>
      <c r="C11" s="6">
        <v>45</v>
      </c>
      <c r="D11" s="7" t="s">
        <v>29</v>
      </c>
      <c r="E11" s="8" t="s">
        <v>63</v>
      </c>
      <c r="F11" s="6" t="s">
        <v>7</v>
      </c>
      <c r="G11" s="6" t="s">
        <v>12</v>
      </c>
      <c r="H11" s="6" t="s">
        <v>12</v>
      </c>
      <c r="I11" s="6" t="s">
        <v>9</v>
      </c>
      <c r="J11" s="6" t="s">
        <v>58</v>
      </c>
      <c r="K11" s="14" t="s">
        <v>102</v>
      </c>
      <c r="L11" s="6" t="s">
        <v>76</v>
      </c>
      <c r="M11" s="14" t="s">
        <v>104</v>
      </c>
      <c r="N11" s="14" t="s">
        <v>110</v>
      </c>
      <c r="O11" s="29"/>
      <c r="P11" s="32"/>
      <c r="Q11" s="6" t="s">
        <v>90</v>
      </c>
      <c r="R11" s="14" t="s">
        <v>97</v>
      </c>
      <c r="S11" s="6" t="s">
        <v>62</v>
      </c>
    </row>
    <row r="12" spans="1:19" ht="30" customHeight="1" x14ac:dyDescent="0.45">
      <c r="A12" s="2">
        <v>11</v>
      </c>
      <c r="B12" s="5" t="s">
        <v>42</v>
      </c>
      <c r="C12" s="2">
        <v>60</v>
      </c>
      <c r="D12" s="3" t="s">
        <v>49</v>
      </c>
      <c r="E12" s="4" t="s">
        <v>91</v>
      </c>
      <c r="F12" s="5" t="s">
        <v>53</v>
      </c>
      <c r="G12" s="2" t="s">
        <v>68</v>
      </c>
      <c r="H12" s="2" t="s">
        <v>9</v>
      </c>
      <c r="I12" s="2" t="s">
        <v>9</v>
      </c>
      <c r="J12" s="5" t="s">
        <v>52</v>
      </c>
      <c r="K12" s="14" t="s">
        <v>52</v>
      </c>
      <c r="L12" s="5" t="s">
        <v>77</v>
      </c>
      <c r="M12" s="14" t="s">
        <v>104</v>
      </c>
      <c r="N12" s="14" t="s">
        <v>110</v>
      </c>
      <c r="O12" s="30"/>
      <c r="P12" s="33"/>
      <c r="Q12" s="5" t="s">
        <v>83</v>
      </c>
      <c r="R12" s="14" t="s">
        <v>98</v>
      </c>
      <c r="S12" s="5" t="s">
        <v>69</v>
      </c>
    </row>
    <row r="13" spans="1:19" x14ac:dyDescent="0.45">
      <c r="A13" s="1"/>
      <c r="B13" s="1"/>
      <c r="C13" s="1">
        <f>SUM(C2:C12)</f>
        <v>765</v>
      </c>
      <c r="D13" s="1"/>
      <c r="E13" s="1"/>
      <c r="F13" s="1"/>
      <c r="G13" s="1"/>
      <c r="H13" s="1"/>
      <c r="I13" s="1"/>
      <c r="J13" s="1"/>
      <c r="K13" s="1"/>
      <c r="L13" s="1"/>
      <c r="M13" s="1"/>
      <c r="N13" s="1"/>
      <c r="O13" s="1"/>
      <c r="P13" s="1"/>
      <c r="Q13" s="1"/>
      <c r="R13" s="1"/>
      <c r="S13" s="1"/>
    </row>
    <row r="14" spans="1:19" x14ac:dyDescent="0.45">
      <c r="A14" s="1"/>
      <c r="B14" s="1"/>
      <c r="C14" s="1"/>
      <c r="D14" s="1"/>
      <c r="E14" s="1"/>
      <c r="F14" s="1"/>
      <c r="G14" s="1"/>
      <c r="H14" s="1"/>
      <c r="I14" s="1"/>
      <c r="J14" s="1"/>
      <c r="K14" s="1"/>
      <c r="L14" s="1"/>
      <c r="M14" s="1"/>
      <c r="N14" s="1"/>
      <c r="O14" s="1"/>
      <c r="P14" s="1"/>
      <c r="Q14" s="1"/>
      <c r="R14" s="1"/>
      <c r="S14" s="1"/>
    </row>
    <row r="15" spans="1:19" x14ac:dyDescent="0.45">
      <c r="A15" s="1"/>
      <c r="B15" s="1"/>
      <c r="C15" s="1"/>
      <c r="D15" s="1"/>
      <c r="E15" s="1"/>
      <c r="F15" s="1"/>
      <c r="G15" s="1"/>
      <c r="H15" s="1"/>
      <c r="I15" s="1"/>
      <c r="J15" s="1"/>
      <c r="K15" s="1"/>
      <c r="L15" s="1"/>
      <c r="M15" s="1"/>
      <c r="N15" s="1"/>
      <c r="O15" s="1"/>
      <c r="P15" s="1"/>
      <c r="Q15" s="1"/>
      <c r="R15" s="1"/>
      <c r="S15" s="1"/>
    </row>
  </sheetData>
  <mergeCells count="2">
    <mergeCell ref="O2:O12"/>
    <mergeCell ref="P2:P12"/>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5"/>
  <sheetViews>
    <sheetView zoomScaleNormal="100" workbookViewId="0">
      <pane xSplit="3" ySplit="1" topLeftCell="D2" activePane="bottomRight" state="frozen"/>
      <selection pane="topRight" activeCell="D1" sqref="D1"/>
      <selection pane="bottomLeft" activeCell="A2" sqref="A2"/>
      <selection pane="bottomRight" activeCell="B3" sqref="B3:B5"/>
    </sheetView>
  </sheetViews>
  <sheetFormatPr defaultColWidth="9" defaultRowHeight="17" x14ac:dyDescent="0.45"/>
  <cols>
    <col min="1" max="1" width="8" style="11" customWidth="1"/>
    <col min="2" max="2" width="23" style="11" customWidth="1"/>
    <col min="3" max="3" width="8.75" style="11" customWidth="1"/>
    <col min="4" max="4" width="38.5" style="10" customWidth="1"/>
    <col min="5" max="5" width="71.5" style="10" customWidth="1"/>
    <col min="6" max="6" width="18.33203125" style="11" customWidth="1"/>
    <col min="7" max="7" width="12.25" style="11" customWidth="1"/>
    <col min="8" max="8" width="9.83203125" style="11" customWidth="1"/>
    <col min="9" max="9" width="12.33203125" style="11" bestFit="1" customWidth="1"/>
    <col min="10" max="10" width="11" style="11" customWidth="1"/>
    <col min="11" max="11" width="16.75" style="11" customWidth="1"/>
    <col min="12" max="12" width="20.4140625" style="11" bestFit="1" customWidth="1"/>
    <col min="13" max="14" width="20.4140625" style="11" customWidth="1"/>
    <col min="15" max="15" width="8.5" style="11" customWidth="1"/>
    <col min="16" max="16" width="15.33203125" style="11" customWidth="1"/>
    <col min="17" max="17" width="12" style="11" customWidth="1"/>
    <col min="18" max="18" width="19.33203125" style="11" customWidth="1"/>
    <col min="19" max="19" width="39" style="10" customWidth="1"/>
    <col min="20" max="20" width="36.5" style="10" customWidth="1"/>
    <col min="21" max="16384" width="9" style="10"/>
  </cols>
  <sheetData>
    <row r="1" spans="1:23" ht="29.25" customHeight="1" x14ac:dyDescent="0.45">
      <c r="A1" s="9" t="s">
        <v>39</v>
      </c>
      <c r="B1" s="9" t="s">
        <v>0</v>
      </c>
      <c r="C1" s="9" t="s">
        <v>64</v>
      </c>
      <c r="D1" s="9" t="s">
        <v>10</v>
      </c>
      <c r="E1" s="9" t="s">
        <v>4</v>
      </c>
      <c r="F1" s="9" t="s">
        <v>36</v>
      </c>
      <c r="G1" s="9" t="s">
        <v>1</v>
      </c>
      <c r="H1" s="9" t="s">
        <v>2</v>
      </c>
      <c r="I1" s="9" t="s">
        <v>3</v>
      </c>
      <c r="J1" s="9" t="s">
        <v>50</v>
      </c>
      <c r="K1" s="9" t="s">
        <v>99</v>
      </c>
      <c r="L1" s="9" t="s">
        <v>70</v>
      </c>
      <c r="M1" s="9" t="s">
        <v>103</v>
      </c>
      <c r="N1" s="9" t="s">
        <v>106</v>
      </c>
      <c r="O1" s="9" t="s">
        <v>107</v>
      </c>
      <c r="P1" s="9" t="s">
        <v>108</v>
      </c>
      <c r="Q1" s="9" t="s">
        <v>78</v>
      </c>
      <c r="R1" s="9" t="s">
        <v>93</v>
      </c>
      <c r="S1" s="9" t="s">
        <v>5</v>
      </c>
    </row>
    <row r="2" spans="1:23" ht="42.75" customHeight="1" x14ac:dyDescent="0.45">
      <c r="A2" s="2">
        <v>1</v>
      </c>
      <c r="B2" s="15" t="s">
        <v>44</v>
      </c>
      <c r="C2" s="15">
        <v>45</v>
      </c>
      <c r="D2" s="3" t="s">
        <v>6</v>
      </c>
      <c r="E2" s="4" t="s">
        <v>45</v>
      </c>
      <c r="F2" s="5" t="s">
        <v>87</v>
      </c>
      <c r="G2" s="2" t="s">
        <v>15</v>
      </c>
      <c r="H2" s="2" t="s">
        <v>8</v>
      </c>
      <c r="I2" s="2" t="s">
        <v>9</v>
      </c>
      <c r="J2" s="5" t="s">
        <v>51</v>
      </c>
      <c r="K2" s="14" t="s">
        <v>100</v>
      </c>
      <c r="L2" s="5" t="s">
        <v>71</v>
      </c>
      <c r="M2" s="14" t="s">
        <v>104</v>
      </c>
      <c r="N2" s="14" t="s">
        <v>114</v>
      </c>
      <c r="O2" s="28" t="s">
        <v>109</v>
      </c>
      <c r="P2" s="31" t="s">
        <v>105</v>
      </c>
      <c r="Q2" s="5" t="s">
        <v>79</v>
      </c>
      <c r="R2" s="14" t="s">
        <v>79</v>
      </c>
      <c r="S2" s="5" t="s">
        <v>46</v>
      </c>
      <c r="T2" s="34" t="s">
        <v>117</v>
      </c>
      <c r="U2" s="24"/>
      <c r="V2" s="24"/>
      <c r="W2" s="24"/>
    </row>
    <row r="3" spans="1:23" ht="68" x14ac:dyDescent="0.45">
      <c r="A3" s="6">
        <v>2</v>
      </c>
      <c r="B3" s="16" t="s">
        <v>13</v>
      </c>
      <c r="C3" s="16">
        <v>90</v>
      </c>
      <c r="D3" s="7" t="s">
        <v>14</v>
      </c>
      <c r="E3" s="8" t="s">
        <v>17</v>
      </c>
      <c r="F3" s="6" t="s">
        <v>88</v>
      </c>
      <c r="G3" s="6" t="s">
        <v>15</v>
      </c>
      <c r="H3" s="6" t="s">
        <v>12</v>
      </c>
      <c r="I3" s="6" t="s">
        <v>9</v>
      </c>
      <c r="J3" s="6" t="s">
        <v>51</v>
      </c>
      <c r="K3" s="14" t="s">
        <v>100</v>
      </c>
      <c r="L3" s="6" t="s">
        <v>75</v>
      </c>
      <c r="M3" s="14" t="s">
        <v>104</v>
      </c>
      <c r="N3" s="14" t="s">
        <v>110</v>
      </c>
      <c r="O3" s="29"/>
      <c r="P3" s="32"/>
      <c r="Q3" s="6" t="s">
        <v>79</v>
      </c>
      <c r="R3" s="14" t="s">
        <v>79</v>
      </c>
      <c r="S3" s="6" t="s">
        <v>16</v>
      </c>
      <c r="T3" s="34"/>
      <c r="U3" s="24"/>
      <c r="V3" s="24"/>
      <c r="W3" s="24"/>
    </row>
    <row r="4" spans="1:23" ht="136" x14ac:dyDescent="0.45">
      <c r="A4" s="2">
        <v>3</v>
      </c>
      <c r="B4" s="16" t="s">
        <v>59</v>
      </c>
      <c r="C4" s="15">
        <v>45</v>
      </c>
      <c r="D4" s="3" t="s">
        <v>18</v>
      </c>
      <c r="E4" s="4" t="s">
        <v>40</v>
      </c>
      <c r="F4" s="5" t="s">
        <v>11</v>
      </c>
      <c r="G4" s="2" t="s">
        <v>12</v>
      </c>
      <c r="H4" s="2" t="s">
        <v>12</v>
      </c>
      <c r="I4" s="2" t="s">
        <v>12</v>
      </c>
      <c r="J4" s="5" t="s">
        <v>51</v>
      </c>
      <c r="K4" s="14" t="s">
        <v>100</v>
      </c>
      <c r="L4" s="5" t="s">
        <v>72</v>
      </c>
      <c r="M4" s="14" t="s">
        <v>104</v>
      </c>
      <c r="N4" s="14" t="s">
        <v>110</v>
      </c>
      <c r="O4" s="29"/>
      <c r="P4" s="32"/>
      <c r="Q4" s="5" t="s">
        <v>84</v>
      </c>
      <c r="R4" s="14" t="s">
        <v>116</v>
      </c>
      <c r="S4" s="5" t="s">
        <v>22</v>
      </c>
      <c r="T4" s="34"/>
    </row>
    <row r="5" spans="1:23" ht="85" x14ac:dyDescent="0.45">
      <c r="A5" s="6">
        <v>4</v>
      </c>
      <c r="B5" s="17" t="s">
        <v>48</v>
      </c>
      <c r="C5" s="17">
        <v>90</v>
      </c>
      <c r="D5" s="7" t="s">
        <v>19</v>
      </c>
      <c r="E5" s="8" t="s">
        <v>92</v>
      </c>
      <c r="F5" s="6" t="s">
        <v>23</v>
      </c>
      <c r="G5" s="6" t="s">
        <v>20</v>
      </c>
      <c r="H5" s="6" t="s">
        <v>20</v>
      </c>
      <c r="I5" s="6" t="s">
        <v>9</v>
      </c>
      <c r="J5" s="6" t="s">
        <v>52</v>
      </c>
      <c r="K5" s="14" t="s">
        <v>52</v>
      </c>
      <c r="L5" s="6" t="s">
        <v>73</v>
      </c>
      <c r="M5" s="14" t="s">
        <v>104</v>
      </c>
      <c r="N5" s="14" t="s">
        <v>110</v>
      </c>
      <c r="O5" s="29"/>
      <c r="P5" s="32"/>
      <c r="Q5" s="6" t="s">
        <v>85</v>
      </c>
      <c r="R5" s="14" t="s">
        <v>95</v>
      </c>
      <c r="S5" s="6" t="s">
        <v>21</v>
      </c>
    </row>
    <row r="6" spans="1:23" ht="85" x14ac:dyDescent="0.45">
      <c r="A6" s="2">
        <v>5</v>
      </c>
      <c r="B6" s="20" t="s">
        <v>27</v>
      </c>
      <c r="C6" s="21">
        <v>90</v>
      </c>
      <c r="D6" s="3" t="s">
        <v>24</v>
      </c>
      <c r="E6" s="4" t="s">
        <v>65</v>
      </c>
      <c r="F6" s="5" t="s">
        <v>26</v>
      </c>
      <c r="G6" s="2" t="s">
        <v>20</v>
      </c>
      <c r="H6" s="2" t="s">
        <v>9</v>
      </c>
      <c r="I6" s="2" t="s">
        <v>9</v>
      </c>
      <c r="J6" s="5" t="s">
        <v>52</v>
      </c>
      <c r="K6" s="14" t="s">
        <v>52</v>
      </c>
      <c r="L6" s="5" t="s">
        <v>74</v>
      </c>
      <c r="M6" s="14" t="s">
        <v>104</v>
      </c>
      <c r="N6" s="14" t="s">
        <v>110</v>
      </c>
      <c r="O6" s="29"/>
      <c r="P6" s="32"/>
      <c r="Q6" s="5" t="s">
        <v>86</v>
      </c>
      <c r="R6" s="14" t="s">
        <v>111</v>
      </c>
      <c r="S6" s="5" t="s">
        <v>25</v>
      </c>
      <c r="T6" s="25" t="s">
        <v>118</v>
      </c>
    </row>
    <row r="7" spans="1:23" ht="80.25" customHeight="1" x14ac:dyDescent="0.45">
      <c r="A7" s="6">
        <v>6</v>
      </c>
      <c r="B7" s="20" t="s">
        <v>43</v>
      </c>
      <c r="C7" s="20">
        <v>60</v>
      </c>
      <c r="D7" s="7" t="s">
        <v>35</v>
      </c>
      <c r="E7" s="8" t="s">
        <v>41</v>
      </c>
      <c r="F7" s="6" t="s">
        <v>54</v>
      </c>
      <c r="G7" s="6" t="s">
        <v>12</v>
      </c>
      <c r="H7" s="6" t="s">
        <v>9</v>
      </c>
      <c r="I7" s="6" t="s">
        <v>9</v>
      </c>
      <c r="J7" s="6" t="s">
        <v>52</v>
      </c>
      <c r="K7" s="14" t="s">
        <v>52</v>
      </c>
      <c r="L7" s="6" t="s">
        <v>74</v>
      </c>
      <c r="M7" s="14" t="s">
        <v>104</v>
      </c>
      <c r="N7" s="14" t="s">
        <v>110</v>
      </c>
      <c r="O7" s="29"/>
      <c r="P7" s="32"/>
      <c r="Q7" s="6" t="s">
        <v>80</v>
      </c>
      <c r="R7" s="14" t="s">
        <v>96</v>
      </c>
      <c r="S7" s="6" t="s">
        <v>38</v>
      </c>
    </row>
    <row r="8" spans="1:23" ht="68" x14ac:dyDescent="0.45">
      <c r="A8" s="2">
        <v>7</v>
      </c>
      <c r="B8" s="18" t="s">
        <v>56</v>
      </c>
      <c r="C8" s="19">
        <v>90</v>
      </c>
      <c r="D8" s="23" t="s">
        <v>115</v>
      </c>
      <c r="E8" s="4" t="s">
        <v>60</v>
      </c>
      <c r="F8" s="5" t="s">
        <v>67</v>
      </c>
      <c r="G8" s="2" t="s">
        <v>66</v>
      </c>
      <c r="H8" s="2" t="s">
        <v>9</v>
      </c>
      <c r="I8" s="2" t="s">
        <v>9</v>
      </c>
      <c r="J8" s="5" t="s">
        <v>52</v>
      </c>
      <c r="K8" s="14" t="s">
        <v>52</v>
      </c>
      <c r="L8" s="5" t="s">
        <v>74</v>
      </c>
      <c r="M8" s="14" t="s">
        <v>104</v>
      </c>
      <c r="N8" s="14" t="s">
        <v>110</v>
      </c>
      <c r="O8" s="29"/>
      <c r="P8" s="32"/>
      <c r="Q8" s="5" t="s">
        <v>81</v>
      </c>
      <c r="R8" s="14" t="s">
        <v>81</v>
      </c>
      <c r="S8" s="5" t="s">
        <v>61</v>
      </c>
    </row>
    <row r="9" spans="1:23" ht="51" x14ac:dyDescent="0.45">
      <c r="A9" s="6">
        <v>8</v>
      </c>
      <c r="B9" s="17" t="s">
        <v>30</v>
      </c>
      <c r="C9" s="17">
        <v>60</v>
      </c>
      <c r="D9" s="7" t="s">
        <v>31</v>
      </c>
      <c r="E9" s="8" t="s">
        <v>47</v>
      </c>
      <c r="F9" s="6" t="s">
        <v>7</v>
      </c>
      <c r="G9" s="6" t="s">
        <v>12</v>
      </c>
      <c r="H9" s="6" t="s">
        <v>12</v>
      </c>
      <c r="I9" s="6" t="s">
        <v>9</v>
      </c>
      <c r="J9" s="6" t="s">
        <v>58</v>
      </c>
      <c r="K9" s="14" t="s">
        <v>101</v>
      </c>
      <c r="L9" s="6" t="s">
        <v>76</v>
      </c>
      <c r="M9" s="14" t="s">
        <v>104</v>
      </c>
      <c r="N9" s="14" t="s">
        <v>110</v>
      </c>
      <c r="O9" s="29"/>
      <c r="P9" s="32"/>
      <c r="Q9" s="6" t="s">
        <v>89</v>
      </c>
      <c r="R9" s="14" t="s">
        <v>120</v>
      </c>
      <c r="S9" s="6" t="s">
        <v>32</v>
      </c>
    </row>
    <row r="10" spans="1:23" ht="85" x14ac:dyDescent="0.45">
      <c r="A10" s="2">
        <v>9</v>
      </c>
      <c r="B10" s="17" t="s">
        <v>55</v>
      </c>
      <c r="C10" s="19">
        <v>90</v>
      </c>
      <c r="D10" s="3" t="s">
        <v>33</v>
      </c>
      <c r="E10" s="4" t="s">
        <v>57</v>
      </c>
      <c r="F10" s="5" t="s">
        <v>37</v>
      </c>
      <c r="G10" s="2" t="s">
        <v>20</v>
      </c>
      <c r="H10" s="2" t="s">
        <v>12</v>
      </c>
      <c r="I10" s="2" t="s">
        <v>9</v>
      </c>
      <c r="J10" s="5" t="s">
        <v>52</v>
      </c>
      <c r="K10" s="14" t="s">
        <v>113</v>
      </c>
      <c r="L10" s="5" t="s">
        <v>76</v>
      </c>
      <c r="M10" s="14" t="s">
        <v>104</v>
      </c>
      <c r="N10" s="14" t="s">
        <v>110</v>
      </c>
      <c r="O10" s="29"/>
      <c r="P10" s="32"/>
      <c r="Q10" s="5" t="s">
        <v>82</v>
      </c>
      <c r="R10" s="14" t="s">
        <v>119</v>
      </c>
      <c r="S10" s="5" t="s">
        <v>34</v>
      </c>
    </row>
    <row r="11" spans="1:23" ht="85" x14ac:dyDescent="0.45">
      <c r="A11" s="12">
        <v>10</v>
      </c>
      <c r="B11" s="22" t="s">
        <v>28</v>
      </c>
      <c r="C11" s="20">
        <v>45</v>
      </c>
      <c r="D11" s="7" t="s">
        <v>29</v>
      </c>
      <c r="E11" s="8" t="s">
        <v>63</v>
      </c>
      <c r="F11" s="6" t="s">
        <v>7</v>
      </c>
      <c r="G11" s="6" t="s">
        <v>12</v>
      </c>
      <c r="H11" s="6" t="s">
        <v>12</v>
      </c>
      <c r="I11" s="6" t="s">
        <v>9</v>
      </c>
      <c r="J11" s="6" t="s">
        <v>58</v>
      </c>
      <c r="K11" s="14" t="s">
        <v>102</v>
      </c>
      <c r="L11" s="6" t="s">
        <v>76</v>
      </c>
      <c r="M11" s="14" t="s">
        <v>104</v>
      </c>
      <c r="N11" s="14" t="s">
        <v>110</v>
      </c>
      <c r="O11" s="29"/>
      <c r="P11" s="32"/>
      <c r="Q11" s="6" t="s">
        <v>90</v>
      </c>
      <c r="R11" s="14" t="s">
        <v>97</v>
      </c>
      <c r="S11" s="6" t="s">
        <v>62</v>
      </c>
    </row>
    <row r="12" spans="1:23" ht="30" customHeight="1" x14ac:dyDescent="0.45">
      <c r="A12" s="2">
        <v>11</v>
      </c>
      <c r="B12" s="20" t="s">
        <v>42</v>
      </c>
      <c r="C12" s="21">
        <v>60</v>
      </c>
      <c r="D12" s="3" t="s">
        <v>49</v>
      </c>
      <c r="E12" s="4" t="s">
        <v>91</v>
      </c>
      <c r="F12" s="5" t="s">
        <v>53</v>
      </c>
      <c r="G12" s="2" t="s">
        <v>68</v>
      </c>
      <c r="H12" s="2" t="s">
        <v>9</v>
      </c>
      <c r="I12" s="2" t="s">
        <v>9</v>
      </c>
      <c r="J12" s="5" t="s">
        <v>52</v>
      </c>
      <c r="K12" s="14" t="s">
        <v>52</v>
      </c>
      <c r="L12" s="5" t="s">
        <v>77</v>
      </c>
      <c r="M12" s="14" t="s">
        <v>104</v>
      </c>
      <c r="N12" s="14" t="s">
        <v>110</v>
      </c>
      <c r="O12" s="30"/>
      <c r="P12" s="33"/>
      <c r="Q12" s="5" t="s">
        <v>83</v>
      </c>
      <c r="R12" s="14" t="s">
        <v>98</v>
      </c>
      <c r="S12" s="5" t="s">
        <v>69</v>
      </c>
    </row>
    <row r="13" spans="1:23" x14ac:dyDescent="0.45">
      <c r="A13" s="1"/>
      <c r="B13" s="1"/>
      <c r="C13" s="1">
        <f>SUM(C2:C12)</f>
        <v>765</v>
      </c>
      <c r="D13" s="1"/>
      <c r="E13" s="1"/>
      <c r="F13" s="1"/>
      <c r="G13" s="1"/>
      <c r="H13" s="1"/>
      <c r="I13" s="1"/>
      <c r="J13" s="1"/>
      <c r="K13" s="1"/>
      <c r="L13" s="1"/>
      <c r="M13" s="1"/>
      <c r="N13" s="1"/>
      <c r="O13" s="1"/>
      <c r="P13" s="1"/>
      <c r="Q13" s="1"/>
      <c r="R13" s="1"/>
      <c r="S13" s="1"/>
    </row>
    <row r="14" spans="1:23" x14ac:dyDescent="0.45">
      <c r="A14" s="1"/>
      <c r="B14" s="1"/>
      <c r="C14" s="1"/>
      <c r="D14" s="1"/>
      <c r="E14" s="1"/>
      <c r="F14" s="1"/>
      <c r="G14" s="1"/>
      <c r="H14" s="1"/>
      <c r="I14" s="1"/>
      <c r="J14" s="1"/>
      <c r="K14" s="1"/>
      <c r="L14" s="1"/>
      <c r="M14" s="1"/>
      <c r="N14" s="1"/>
      <c r="O14" s="1"/>
      <c r="P14" s="1"/>
      <c r="Q14" s="1"/>
      <c r="R14" s="1"/>
      <c r="S14" s="1"/>
    </row>
    <row r="15" spans="1:23" x14ac:dyDescent="0.45">
      <c r="A15" s="1"/>
      <c r="B15" s="1"/>
      <c r="C15" s="1"/>
      <c r="D15" s="1"/>
      <c r="E15" s="1"/>
      <c r="F15" s="1"/>
      <c r="G15" s="1"/>
      <c r="H15" s="1"/>
      <c r="I15" s="1"/>
      <c r="J15" s="1"/>
      <c r="K15" s="1"/>
      <c r="L15" s="1"/>
      <c r="M15" s="1"/>
      <c r="N15" s="1"/>
      <c r="O15" s="1"/>
      <c r="P15" s="1"/>
      <c r="Q15" s="1"/>
      <c r="R15" s="1"/>
      <c r="S15" s="1"/>
    </row>
  </sheetData>
  <mergeCells count="3">
    <mergeCell ref="O2:O12"/>
    <mergeCell ref="P2:P12"/>
    <mergeCell ref="T2:T4"/>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2:G7"/>
  <sheetViews>
    <sheetView workbookViewId="0">
      <selection activeCell="F23" sqref="F23"/>
    </sheetView>
  </sheetViews>
  <sheetFormatPr defaultColWidth="11" defaultRowHeight="17" x14ac:dyDescent="0.45"/>
  <sheetData>
    <row r="2" spans="4:7" ht="27" customHeight="1" x14ac:dyDescent="0.45">
      <c r="D2" s="35" t="s">
        <v>660</v>
      </c>
      <c r="E2" s="35"/>
      <c r="F2" s="36" t="s">
        <v>661</v>
      </c>
      <c r="G2" s="36"/>
    </row>
    <row r="3" spans="4:7" ht="27" customHeight="1" x14ac:dyDescent="0.45">
      <c r="D3" s="38" t="s">
        <v>664</v>
      </c>
      <c r="E3" s="38"/>
      <c r="F3" s="38"/>
      <c r="G3" s="38"/>
    </row>
    <row r="4" spans="4:7" ht="27" customHeight="1" x14ac:dyDescent="0.45">
      <c r="D4" s="39" t="s">
        <v>663</v>
      </c>
      <c r="E4" s="39"/>
      <c r="F4" s="39"/>
      <c r="G4" s="39"/>
    </row>
    <row r="5" spans="4:7" ht="27" customHeight="1" x14ac:dyDescent="0.45">
      <c r="D5" s="37" t="s">
        <v>658</v>
      </c>
      <c r="E5" s="37"/>
      <c r="F5" s="37"/>
      <c r="G5" s="27"/>
    </row>
    <row r="6" spans="4:7" ht="27" customHeight="1" x14ac:dyDescent="0.45">
      <c r="D6" s="27"/>
      <c r="E6" s="40" t="s">
        <v>659</v>
      </c>
      <c r="F6" s="40"/>
      <c r="G6" s="40"/>
    </row>
    <row r="7" spans="4:7" ht="27" customHeight="1" x14ac:dyDescent="0.45">
      <c r="D7" s="37" t="s">
        <v>662</v>
      </c>
      <c r="E7" s="37"/>
      <c r="F7" s="37"/>
      <c r="G7" s="37"/>
    </row>
  </sheetData>
  <mergeCells count="7">
    <mergeCell ref="D2:E2"/>
    <mergeCell ref="F2:G2"/>
    <mergeCell ref="D7:G7"/>
    <mergeCell ref="D3:G3"/>
    <mergeCell ref="D4:G4"/>
    <mergeCell ref="D5:F5"/>
    <mergeCell ref="E6:G6"/>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87"/>
  <sheetViews>
    <sheetView zoomScale="70" zoomScaleNormal="70" workbookViewId="0">
      <pane ySplit="1" topLeftCell="A56" activePane="bottomLeft" state="frozen"/>
      <selection pane="bottomLeft" activeCell="H1" sqref="H1"/>
    </sheetView>
  </sheetViews>
  <sheetFormatPr defaultColWidth="8.75" defaultRowHeight="17" x14ac:dyDescent="0.45"/>
  <cols>
    <col min="1" max="37" width="20.5" customWidth="1"/>
  </cols>
  <sheetData>
    <row r="1" spans="1:37" x14ac:dyDescent="0.45">
      <c r="A1" s="26" t="s">
        <v>169</v>
      </c>
      <c r="B1" s="26" t="s">
        <v>168</v>
      </c>
      <c r="C1" s="26" t="s">
        <v>167</v>
      </c>
      <c r="D1" s="26" t="s">
        <v>166</v>
      </c>
      <c r="E1" s="26" t="s">
        <v>165</v>
      </c>
      <c r="F1" s="26" t="s">
        <v>164</v>
      </c>
      <c r="G1" s="26" t="s">
        <v>163</v>
      </c>
      <c r="H1" s="26" t="s">
        <v>162</v>
      </c>
      <c r="I1" s="26" t="s">
        <v>161</v>
      </c>
      <c r="J1" s="26" t="s">
        <v>160</v>
      </c>
      <c r="K1" s="26" t="s">
        <v>159</v>
      </c>
      <c r="L1" s="26" t="s">
        <v>158</v>
      </c>
      <c r="M1" s="26" t="s">
        <v>157</v>
      </c>
      <c r="N1" s="26" t="s">
        <v>156</v>
      </c>
      <c r="O1" s="26" t="s">
        <v>155</v>
      </c>
      <c r="P1" s="26" t="s">
        <v>154</v>
      </c>
      <c r="Q1" s="26" t="s">
        <v>153</v>
      </c>
      <c r="R1" s="26" t="s">
        <v>152</v>
      </c>
      <c r="S1" s="26" t="s">
        <v>151</v>
      </c>
      <c r="T1" s="26" t="s">
        <v>150</v>
      </c>
      <c r="U1" s="26" t="s">
        <v>149</v>
      </c>
      <c r="V1" s="26" t="s">
        <v>148</v>
      </c>
      <c r="W1" s="26" t="s">
        <v>147</v>
      </c>
      <c r="X1" s="26" t="s">
        <v>146</v>
      </c>
      <c r="Y1" s="26" t="s">
        <v>145</v>
      </c>
      <c r="Z1" s="26" t="s">
        <v>144</v>
      </c>
      <c r="AA1" s="26" t="s">
        <v>143</v>
      </c>
      <c r="AB1" s="26" t="s">
        <v>142</v>
      </c>
      <c r="AC1" s="26" t="s">
        <v>141</v>
      </c>
      <c r="AD1" s="26" t="s">
        <v>140</v>
      </c>
      <c r="AE1" s="26" t="s">
        <v>139</v>
      </c>
      <c r="AF1" s="26" t="s">
        <v>138</v>
      </c>
      <c r="AG1" s="26" t="s">
        <v>137</v>
      </c>
      <c r="AH1" s="26" t="s">
        <v>136</v>
      </c>
      <c r="AI1" s="26" t="s">
        <v>135</v>
      </c>
      <c r="AJ1" s="26" t="s">
        <v>134</v>
      </c>
      <c r="AK1" s="26" t="s">
        <v>133</v>
      </c>
    </row>
    <row r="2" spans="1:37" x14ac:dyDescent="0.45">
      <c r="A2" t="s">
        <v>199</v>
      </c>
      <c r="B2" t="s">
        <v>199</v>
      </c>
      <c r="C2" t="s">
        <v>657</v>
      </c>
      <c r="D2" t="s">
        <v>656</v>
      </c>
      <c r="E2" t="s">
        <v>177</v>
      </c>
      <c r="F2" t="s">
        <v>123</v>
      </c>
      <c r="G2" t="s">
        <v>121</v>
      </c>
      <c r="H2">
        <v>40</v>
      </c>
      <c r="L2" t="s">
        <v>655</v>
      </c>
      <c r="M2" t="s">
        <v>194</v>
      </c>
      <c r="O2">
        <v>15481</v>
      </c>
      <c r="R2" t="s">
        <v>654</v>
      </c>
      <c r="S2" t="s">
        <v>176</v>
      </c>
      <c r="T2" t="s">
        <v>653</v>
      </c>
      <c r="U2">
        <v>15206</v>
      </c>
      <c r="V2">
        <v>0</v>
      </c>
      <c r="W2">
        <v>8871</v>
      </c>
      <c r="Y2">
        <v>289234</v>
      </c>
      <c r="Z2">
        <v>26871</v>
      </c>
      <c r="AD2">
        <v>0</v>
      </c>
      <c r="AE2">
        <v>0</v>
      </c>
      <c r="AF2">
        <v>0</v>
      </c>
      <c r="AG2">
        <v>0</v>
      </c>
      <c r="AH2">
        <v>0</v>
      </c>
      <c r="AI2">
        <v>0</v>
      </c>
    </row>
    <row r="3" spans="1:37" x14ac:dyDescent="0.45">
      <c r="A3" t="s">
        <v>199</v>
      </c>
      <c r="B3" t="s">
        <v>199</v>
      </c>
      <c r="C3" t="s">
        <v>652</v>
      </c>
      <c r="D3" t="s">
        <v>651</v>
      </c>
      <c r="E3" t="s">
        <v>448</v>
      </c>
      <c r="F3" t="s">
        <v>122</v>
      </c>
      <c r="G3" t="s">
        <v>121</v>
      </c>
      <c r="H3">
        <v>40</v>
      </c>
      <c r="J3">
        <v>2021</v>
      </c>
      <c r="L3" t="s">
        <v>650</v>
      </c>
      <c r="M3" t="s">
        <v>194</v>
      </c>
      <c r="O3">
        <v>15503</v>
      </c>
      <c r="P3">
        <v>37.293534000000001</v>
      </c>
      <c r="Q3">
        <v>126.83166900000001</v>
      </c>
      <c r="R3" t="s">
        <v>649</v>
      </c>
      <c r="S3" t="s">
        <v>445</v>
      </c>
      <c r="T3" t="s">
        <v>648</v>
      </c>
      <c r="U3">
        <v>14493</v>
      </c>
      <c r="V3">
        <v>0</v>
      </c>
      <c r="W3">
        <v>12979</v>
      </c>
      <c r="Y3">
        <v>509967</v>
      </c>
      <c r="Z3">
        <v>47378</v>
      </c>
      <c r="AD3">
        <v>0</v>
      </c>
      <c r="AE3">
        <v>0</v>
      </c>
      <c r="AF3">
        <v>0</v>
      </c>
      <c r="AG3">
        <v>0</v>
      </c>
      <c r="AH3">
        <v>0</v>
      </c>
      <c r="AI3">
        <v>0</v>
      </c>
    </row>
    <row r="4" spans="1:37" x14ac:dyDescent="0.45">
      <c r="A4" t="s">
        <v>199</v>
      </c>
      <c r="B4" t="s">
        <v>199</v>
      </c>
      <c r="C4" t="s">
        <v>527</v>
      </c>
      <c r="D4" t="s">
        <v>647</v>
      </c>
      <c r="E4" t="s">
        <v>416</v>
      </c>
      <c r="F4" t="s">
        <v>122</v>
      </c>
      <c r="G4" t="s">
        <v>121</v>
      </c>
      <c r="H4">
        <v>165</v>
      </c>
      <c r="I4">
        <v>1.4</v>
      </c>
      <c r="K4">
        <v>3</v>
      </c>
      <c r="L4" t="s">
        <v>646</v>
      </c>
      <c r="M4" t="s">
        <v>527</v>
      </c>
      <c r="O4">
        <v>14055</v>
      </c>
      <c r="P4">
        <v>37.397970999999998</v>
      </c>
      <c r="Q4">
        <v>126.96437</v>
      </c>
      <c r="R4" t="s">
        <v>645</v>
      </c>
      <c r="S4" t="s">
        <v>413</v>
      </c>
      <c r="T4" t="s">
        <v>644</v>
      </c>
      <c r="U4">
        <v>11171</v>
      </c>
      <c r="V4">
        <v>0</v>
      </c>
      <c r="W4">
        <v>5239</v>
      </c>
      <c r="Y4">
        <v>298910</v>
      </c>
      <c r="Z4">
        <v>27770</v>
      </c>
      <c r="AA4">
        <v>920821</v>
      </c>
      <c r="AB4">
        <v>85548</v>
      </c>
      <c r="AD4">
        <v>0</v>
      </c>
      <c r="AE4">
        <v>0</v>
      </c>
      <c r="AF4">
        <v>0</v>
      </c>
      <c r="AG4">
        <v>2</v>
      </c>
      <c r="AH4">
        <v>3</v>
      </c>
      <c r="AI4">
        <v>0</v>
      </c>
    </row>
    <row r="5" spans="1:37" x14ac:dyDescent="0.45">
      <c r="A5" t="s">
        <v>199</v>
      </c>
      <c r="B5" t="s">
        <v>199</v>
      </c>
      <c r="C5" t="s">
        <v>639</v>
      </c>
      <c r="D5" t="s">
        <v>643</v>
      </c>
      <c r="E5" t="s">
        <v>188</v>
      </c>
      <c r="F5" t="s">
        <v>122</v>
      </c>
      <c r="G5" t="s">
        <v>121</v>
      </c>
      <c r="H5">
        <v>26</v>
      </c>
      <c r="L5" t="s">
        <v>642</v>
      </c>
      <c r="M5" t="s">
        <v>194</v>
      </c>
      <c r="O5">
        <v>14072</v>
      </c>
      <c r="P5">
        <v>37.373088000000003</v>
      </c>
      <c r="Q5">
        <v>126.948306</v>
      </c>
      <c r="R5" t="s">
        <v>641</v>
      </c>
      <c r="S5" t="s">
        <v>187</v>
      </c>
      <c r="T5" t="s">
        <v>640</v>
      </c>
      <c r="U5">
        <v>14212</v>
      </c>
      <c r="V5">
        <v>0</v>
      </c>
      <c r="W5">
        <v>12980</v>
      </c>
      <c r="Y5">
        <v>355205</v>
      </c>
      <c r="Z5">
        <v>33000</v>
      </c>
      <c r="AD5">
        <v>0</v>
      </c>
      <c r="AE5">
        <v>0</v>
      </c>
      <c r="AF5">
        <v>0</v>
      </c>
      <c r="AG5">
        <v>0</v>
      </c>
      <c r="AH5">
        <v>0</v>
      </c>
      <c r="AI5">
        <v>0</v>
      </c>
    </row>
    <row r="6" spans="1:37" x14ac:dyDescent="0.45">
      <c r="A6" t="s">
        <v>199</v>
      </c>
      <c r="B6" t="s">
        <v>199</v>
      </c>
      <c r="C6" t="s">
        <v>639</v>
      </c>
      <c r="D6" t="s">
        <v>638</v>
      </c>
      <c r="E6" t="s">
        <v>461</v>
      </c>
      <c r="F6" t="s">
        <v>122</v>
      </c>
      <c r="G6" t="s">
        <v>121</v>
      </c>
      <c r="I6">
        <v>1.4</v>
      </c>
      <c r="L6" t="s">
        <v>637</v>
      </c>
      <c r="M6" t="s">
        <v>194</v>
      </c>
      <c r="O6">
        <v>14056</v>
      </c>
      <c r="P6">
        <v>37.400118999999997</v>
      </c>
      <c r="Q6">
        <v>126.96799</v>
      </c>
      <c r="R6" t="s">
        <v>636</v>
      </c>
      <c r="S6" t="s">
        <v>458</v>
      </c>
      <c r="T6" t="s">
        <v>635</v>
      </c>
      <c r="U6">
        <v>11677</v>
      </c>
      <c r="V6">
        <v>0</v>
      </c>
      <c r="W6">
        <v>4927</v>
      </c>
      <c r="AD6">
        <v>0</v>
      </c>
      <c r="AE6">
        <v>0</v>
      </c>
      <c r="AF6">
        <v>0</v>
      </c>
      <c r="AG6">
        <v>0</v>
      </c>
      <c r="AH6">
        <v>0</v>
      </c>
      <c r="AI6">
        <v>0</v>
      </c>
    </row>
    <row r="7" spans="1:37" x14ac:dyDescent="0.45">
      <c r="A7" t="s">
        <v>199</v>
      </c>
      <c r="B7" t="s">
        <v>199</v>
      </c>
      <c r="C7" t="s">
        <v>630</v>
      </c>
      <c r="D7" t="s">
        <v>634</v>
      </c>
      <c r="E7" t="s">
        <v>196</v>
      </c>
      <c r="F7" t="s">
        <v>170</v>
      </c>
      <c r="G7" t="s">
        <v>121</v>
      </c>
      <c r="H7">
        <v>48</v>
      </c>
      <c r="L7" t="s">
        <v>633</v>
      </c>
      <c r="M7" t="s">
        <v>421</v>
      </c>
      <c r="O7">
        <v>5588</v>
      </c>
      <c r="P7">
        <v>37.529128</v>
      </c>
      <c r="Q7">
        <v>126.76321</v>
      </c>
      <c r="R7" t="s">
        <v>632</v>
      </c>
      <c r="S7" t="s">
        <v>192</v>
      </c>
      <c r="T7" t="s">
        <v>631</v>
      </c>
      <c r="U7">
        <v>14216</v>
      </c>
      <c r="V7">
        <v>0</v>
      </c>
      <c r="W7">
        <v>4063</v>
      </c>
      <c r="AD7">
        <v>0</v>
      </c>
      <c r="AE7">
        <v>0</v>
      </c>
      <c r="AF7">
        <v>0</v>
      </c>
      <c r="AG7">
        <v>0</v>
      </c>
      <c r="AH7">
        <v>0</v>
      </c>
      <c r="AI7">
        <v>0</v>
      </c>
    </row>
    <row r="8" spans="1:37" x14ac:dyDescent="0.45">
      <c r="A8" t="s">
        <v>199</v>
      </c>
      <c r="B8" t="s">
        <v>199</v>
      </c>
      <c r="C8" t="s">
        <v>630</v>
      </c>
      <c r="D8" t="s">
        <v>629</v>
      </c>
      <c r="E8" t="s">
        <v>437</v>
      </c>
      <c r="F8" t="s">
        <v>122</v>
      </c>
      <c r="G8" t="s">
        <v>125</v>
      </c>
      <c r="H8">
        <v>4.8</v>
      </c>
      <c r="L8" t="s">
        <v>628</v>
      </c>
      <c r="M8" t="s">
        <v>421</v>
      </c>
      <c r="O8">
        <v>5140</v>
      </c>
      <c r="R8" t="s">
        <v>627</v>
      </c>
      <c r="S8" t="s">
        <v>434</v>
      </c>
      <c r="T8" t="s">
        <v>626</v>
      </c>
      <c r="U8">
        <v>14217</v>
      </c>
      <c r="V8">
        <v>0</v>
      </c>
      <c r="W8">
        <v>12985</v>
      </c>
      <c r="X8" t="s">
        <v>625</v>
      </c>
      <c r="Y8">
        <v>52473</v>
      </c>
      <c r="Z8">
        <v>4875</v>
      </c>
      <c r="AD8">
        <v>0</v>
      </c>
      <c r="AE8">
        <v>0</v>
      </c>
      <c r="AF8">
        <v>0</v>
      </c>
      <c r="AG8">
        <v>0</v>
      </c>
      <c r="AH8">
        <v>0</v>
      </c>
      <c r="AI8">
        <v>0</v>
      </c>
    </row>
    <row r="9" spans="1:37" x14ac:dyDescent="0.45">
      <c r="A9" t="s">
        <v>199</v>
      </c>
      <c r="B9" t="s">
        <v>199</v>
      </c>
      <c r="C9" t="s">
        <v>620</v>
      </c>
      <c r="D9" t="s">
        <v>624</v>
      </c>
      <c r="E9" t="s">
        <v>461</v>
      </c>
      <c r="F9" t="s">
        <v>122</v>
      </c>
      <c r="G9" t="s">
        <v>121</v>
      </c>
      <c r="I9">
        <v>1.8</v>
      </c>
      <c r="L9" t="s">
        <v>623</v>
      </c>
      <c r="M9" t="s">
        <v>194</v>
      </c>
      <c r="O9">
        <v>58691</v>
      </c>
      <c r="P9">
        <v>37.413463999999998</v>
      </c>
      <c r="Q9">
        <v>127.12448999999999</v>
      </c>
      <c r="R9" t="s">
        <v>622</v>
      </c>
      <c r="S9" t="s">
        <v>458</v>
      </c>
      <c r="T9" t="s">
        <v>621</v>
      </c>
      <c r="U9">
        <v>7636</v>
      </c>
      <c r="V9">
        <v>0</v>
      </c>
      <c r="W9">
        <v>4927</v>
      </c>
      <c r="AD9">
        <v>0</v>
      </c>
      <c r="AE9">
        <v>0</v>
      </c>
      <c r="AF9">
        <v>0</v>
      </c>
      <c r="AG9">
        <v>0</v>
      </c>
      <c r="AH9">
        <v>6</v>
      </c>
      <c r="AI9">
        <v>0</v>
      </c>
    </row>
    <row r="10" spans="1:37" x14ac:dyDescent="0.45">
      <c r="A10" t="s">
        <v>199</v>
      </c>
      <c r="B10" t="s">
        <v>199</v>
      </c>
      <c r="C10" t="s">
        <v>620</v>
      </c>
      <c r="D10" t="s">
        <v>619</v>
      </c>
      <c r="E10" t="s">
        <v>461</v>
      </c>
      <c r="F10" t="s">
        <v>122</v>
      </c>
      <c r="G10" t="s">
        <v>121</v>
      </c>
      <c r="I10">
        <v>1.6</v>
      </c>
      <c r="L10" t="s">
        <v>618</v>
      </c>
      <c r="M10" t="s">
        <v>194</v>
      </c>
      <c r="O10">
        <v>13638</v>
      </c>
      <c r="P10">
        <v>37.335214000000001</v>
      </c>
      <c r="Q10">
        <v>127.11054900000001</v>
      </c>
      <c r="R10" t="s">
        <v>617</v>
      </c>
      <c r="S10" t="s">
        <v>458</v>
      </c>
      <c r="T10" t="s">
        <v>616</v>
      </c>
      <c r="U10">
        <v>11676</v>
      </c>
      <c r="V10">
        <v>0</v>
      </c>
      <c r="W10">
        <v>4927</v>
      </c>
      <c r="AD10">
        <v>0</v>
      </c>
      <c r="AE10">
        <v>0</v>
      </c>
      <c r="AF10">
        <v>0</v>
      </c>
      <c r="AG10">
        <v>0</v>
      </c>
      <c r="AH10">
        <v>0</v>
      </c>
      <c r="AI10">
        <v>0</v>
      </c>
    </row>
    <row r="11" spans="1:37" x14ac:dyDescent="0.45">
      <c r="A11" t="s">
        <v>199</v>
      </c>
      <c r="B11" t="s">
        <v>199</v>
      </c>
      <c r="C11" t="s">
        <v>550</v>
      </c>
      <c r="D11" t="s">
        <v>615</v>
      </c>
      <c r="E11" t="s">
        <v>132</v>
      </c>
      <c r="F11" t="s">
        <v>122</v>
      </c>
      <c r="G11" t="s">
        <v>121</v>
      </c>
      <c r="L11" t="s">
        <v>614</v>
      </c>
      <c r="M11" t="s">
        <v>550</v>
      </c>
      <c r="O11">
        <v>612020</v>
      </c>
      <c r="P11">
        <v>35.193846999999998</v>
      </c>
      <c r="Q11">
        <v>129.15360999999999</v>
      </c>
      <c r="R11" t="s">
        <v>613</v>
      </c>
      <c r="S11" t="s">
        <v>131</v>
      </c>
      <c r="T11" t="s">
        <v>612</v>
      </c>
      <c r="U11">
        <v>10881</v>
      </c>
      <c r="V11">
        <v>0</v>
      </c>
      <c r="W11">
        <v>11753</v>
      </c>
      <c r="AC11" t="s">
        <v>611</v>
      </c>
      <c r="AD11">
        <v>0</v>
      </c>
      <c r="AE11">
        <v>0</v>
      </c>
      <c r="AF11">
        <v>0</v>
      </c>
      <c r="AG11">
        <v>0</v>
      </c>
      <c r="AH11">
        <v>0</v>
      </c>
      <c r="AI11">
        <v>0</v>
      </c>
    </row>
    <row r="12" spans="1:37" x14ac:dyDescent="0.45">
      <c r="A12" t="s">
        <v>199</v>
      </c>
      <c r="B12" t="s">
        <v>199</v>
      </c>
      <c r="C12" t="s">
        <v>550</v>
      </c>
      <c r="D12" t="s">
        <v>610</v>
      </c>
      <c r="E12" t="s">
        <v>212</v>
      </c>
      <c r="F12" t="s">
        <v>122</v>
      </c>
      <c r="G12" t="s">
        <v>121</v>
      </c>
      <c r="H12">
        <v>40</v>
      </c>
      <c r="L12" t="s">
        <v>609</v>
      </c>
      <c r="M12" t="s">
        <v>550</v>
      </c>
      <c r="O12">
        <v>46744</v>
      </c>
      <c r="P12">
        <v>35.138154</v>
      </c>
      <c r="Q12">
        <v>128.859881</v>
      </c>
      <c r="R12" t="s">
        <v>608</v>
      </c>
      <c r="S12" t="s">
        <v>209</v>
      </c>
      <c r="T12" t="s">
        <v>607</v>
      </c>
      <c r="U12">
        <v>11017</v>
      </c>
      <c r="V12">
        <v>0</v>
      </c>
      <c r="W12">
        <v>9903</v>
      </c>
      <c r="Y12">
        <v>131070</v>
      </c>
      <c r="Z12">
        <v>12177</v>
      </c>
      <c r="AA12">
        <v>350157</v>
      </c>
      <c r="AB12">
        <v>32531</v>
      </c>
      <c r="AD12">
        <v>0</v>
      </c>
      <c r="AE12">
        <v>0</v>
      </c>
      <c r="AF12">
        <v>0</v>
      </c>
      <c r="AG12">
        <v>1</v>
      </c>
      <c r="AH12">
        <v>0</v>
      </c>
      <c r="AI12">
        <v>0</v>
      </c>
    </row>
    <row r="13" spans="1:37" x14ac:dyDescent="0.45">
      <c r="A13" t="s">
        <v>199</v>
      </c>
      <c r="B13" t="s">
        <v>199</v>
      </c>
      <c r="C13" t="s">
        <v>550</v>
      </c>
      <c r="D13" t="s">
        <v>606</v>
      </c>
      <c r="E13" t="s">
        <v>173</v>
      </c>
      <c r="F13" t="s">
        <v>122</v>
      </c>
      <c r="G13" t="s">
        <v>125</v>
      </c>
      <c r="L13" t="s">
        <v>605</v>
      </c>
      <c r="M13" t="s">
        <v>550</v>
      </c>
      <c r="O13">
        <v>46744</v>
      </c>
      <c r="P13">
        <v>35.121603999999998</v>
      </c>
      <c r="Q13">
        <v>128.85611599999999</v>
      </c>
      <c r="R13" t="s">
        <v>604</v>
      </c>
      <c r="S13" t="s">
        <v>172</v>
      </c>
      <c r="T13" t="s">
        <v>603</v>
      </c>
      <c r="U13">
        <v>13091</v>
      </c>
      <c r="V13">
        <v>0</v>
      </c>
      <c r="W13">
        <v>2301</v>
      </c>
      <c r="Y13">
        <v>4034024</v>
      </c>
      <c r="Z13">
        <v>374777</v>
      </c>
      <c r="AC13" t="s">
        <v>602</v>
      </c>
      <c r="AD13">
        <v>0</v>
      </c>
      <c r="AE13">
        <v>0</v>
      </c>
      <c r="AF13">
        <v>0</v>
      </c>
      <c r="AG13">
        <v>0</v>
      </c>
      <c r="AH13">
        <v>0</v>
      </c>
      <c r="AI13">
        <v>0</v>
      </c>
    </row>
    <row r="14" spans="1:37" x14ac:dyDescent="0.45">
      <c r="A14" t="s">
        <v>199</v>
      </c>
      <c r="B14" t="s">
        <v>199</v>
      </c>
      <c r="C14" t="s">
        <v>590</v>
      </c>
      <c r="D14" t="s">
        <v>601</v>
      </c>
      <c r="E14" t="s">
        <v>600</v>
      </c>
      <c r="F14" t="s">
        <v>122</v>
      </c>
      <c r="G14" t="s">
        <v>121</v>
      </c>
      <c r="L14" t="s">
        <v>599</v>
      </c>
      <c r="M14" t="s">
        <v>587</v>
      </c>
      <c r="N14" t="s">
        <v>598</v>
      </c>
      <c r="O14">
        <v>200915</v>
      </c>
      <c r="P14">
        <v>37.756573000000003</v>
      </c>
      <c r="Q14">
        <v>127.638154</v>
      </c>
      <c r="R14" t="s">
        <v>597</v>
      </c>
      <c r="S14" t="s">
        <v>596</v>
      </c>
      <c r="T14" t="s">
        <v>595</v>
      </c>
      <c r="U14">
        <v>4634</v>
      </c>
      <c r="V14">
        <v>0</v>
      </c>
      <c r="W14">
        <v>3426</v>
      </c>
      <c r="AD14">
        <v>0</v>
      </c>
      <c r="AE14">
        <v>0</v>
      </c>
      <c r="AF14">
        <v>0</v>
      </c>
      <c r="AG14">
        <v>1</v>
      </c>
      <c r="AH14">
        <v>0</v>
      </c>
      <c r="AI14">
        <v>0</v>
      </c>
    </row>
    <row r="15" spans="1:37" x14ac:dyDescent="0.45">
      <c r="A15" t="s">
        <v>199</v>
      </c>
      <c r="B15" t="s">
        <v>199</v>
      </c>
      <c r="C15" t="s">
        <v>590</v>
      </c>
      <c r="D15" t="s">
        <v>594</v>
      </c>
      <c r="E15" t="s">
        <v>437</v>
      </c>
      <c r="F15" t="s">
        <v>122</v>
      </c>
      <c r="G15" t="s">
        <v>125</v>
      </c>
      <c r="H15">
        <v>40</v>
      </c>
      <c r="J15">
        <v>2013</v>
      </c>
      <c r="L15" t="s">
        <v>593</v>
      </c>
      <c r="M15" t="s">
        <v>587</v>
      </c>
      <c r="O15">
        <v>24218</v>
      </c>
      <c r="P15">
        <v>37.889304000000003</v>
      </c>
      <c r="Q15">
        <v>127.773841</v>
      </c>
      <c r="R15" t="s">
        <v>592</v>
      </c>
      <c r="S15" t="s">
        <v>434</v>
      </c>
      <c r="T15" t="s">
        <v>591</v>
      </c>
      <c r="U15">
        <v>14219</v>
      </c>
      <c r="V15">
        <v>0</v>
      </c>
      <c r="W15">
        <v>12985</v>
      </c>
      <c r="AD15">
        <v>0</v>
      </c>
      <c r="AE15">
        <v>0</v>
      </c>
      <c r="AF15">
        <v>0</v>
      </c>
      <c r="AG15">
        <v>0</v>
      </c>
      <c r="AH15">
        <v>0</v>
      </c>
      <c r="AI15">
        <v>0</v>
      </c>
    </row>
    <row r="16" spans="1:37" x14ac:dyDescent="0.45">
      <c r="A16" t="s">
        <v>199</v>
      </c>
      <c r="B16" t="s">
        <v>199</v>
      </c>
      <c r="C16" t="s">
        <v>590</v>
      </c>
      <c r="D16" t="s">
        <v>589</v>
      </c>
      <c r="E16" t="s">
        <v>249</v>
      </c>
      <c r="F16" t="s">
        <v>122</v>
      </c>
      <c r="G16" t="s">
        <v>121</v>
      </c>
      <c r="J16">
        <v>2019</v>
      </c>
      <c r="L16" t="s">
        <v>588</v>
      </c>
      <c r="M16" t="s">
        <v>587</v>
      </c>
      <c r="O16">
        <v>24239</v>
      </c>
      <c r="P16">
        <v>37.84751</v>
      </c>
      <c r="Q16">
        <v>127.701572</v>
      </c>
      <c r="R16" t="s">
        <v>586</v>
      </c>
      <c r="S16" t="s">
        <v>246</v>
      </c>
      <c r="T16" t="s">
        <v>585</v>
      </c>
      <c r="U16">
        <v>14396</v>
      </c>
      <c r="V16">
        <v>0</v>
      </c>
      <c r="W16">
        <v>2050</v>
      </c>
      <c r="Y16">
        <v>199582</v>
      </c>
      <c r="Z16">
        <v>18542</v>
      </c>
      <c r="AA16">
        <v>84764</v>
      </c>
      <c r="AB16">
        <v>7875</v>
      </c>
      <c r="AD16">
        <v>0</v>
      </c>
      <c r="AE16">
        <v>0</v>
      </c>
      <c r="AF16">
        <v>0</v>
      </c>
      <c r="AG16">
        <v>0</v>
      </c>
      <c r="AH16">
        <v>0</v>
      </c>
      <c r="AI16">
        <v>0</v>
      </c>
    </row>
    <row r="17" spans="1:35" x14ac:dyDescent="0.45">
      <c r="A17" t="s">
        <v>199</v>
      </c>
      <c r="B17" t="s">
        <v>199</v>
      </c>
      <c r="C17" t="s">
        <v>575</v>
      </c>
      <c r="D17" t="s">
        <v>584</v>
      </c>
      <c r="E17" t="s">
        <v>128</v>
      </c>
      <c r="F17" t="s">
        <v>122</v>
      </c>
      <c r="G17" t="s">
        <v>121</v>
      </c>
      <c r="H17">
        <v>22</v>
      </c>
      <c r="L17" t="s">
        <v>573</v>
      </c>
      <c r="M17" t="s">
        <v>194</v>
      </c>
      <c r="O17">
        <v>10249</v>
      </c>
      <c r="P17">
        <v>37.596456000000003</v>
      </c>
      <c r="Q17">
        <v>126.886647</v>
      </c>
      <c r="R17" t="s">
        <v>583</v>
      </c>
      <c r="S17" t="s">
        <v>127</v>
      </c>
      <c r="T17" t="s">
        <v>582</v>
      </c>
      <c r="U17">
        <v>9158</v>
      </c>
      <c r="V17">
        <v>0</v>
      </c>
      <c r="W17">
        <v>422</v>
      </c>
      <c r="Y17">
        <v>60234</v>
      </c>
      <c r="Z17">
        <v>5596</v>
      </c>
      <c r="AA17">
        <v>234317</v>
      </c>
      <c r="AB17">
        <v>21769</v>
      </c>
      <c r="AC17" t="s">
        <v>581</v>
      </c>
      <c r="AD17">
        <v>0</v>
      </c>
      <c r="AE17">
        <v>0</v>
      </c>
      <c r="AF17">
        <v>1</v>
      </c>
      <c r="AG17">
        <v>0</v>
      </c>
      <c r="AH17">
        <v>0</v>
      </c>
      <c r="AI17">
        <v>0</v>
      </c>
    </row>
    <row r="18" spans="1:35" x14ac:dyDescent="0.45">
      <c r="A18" t="s">
        <v>199</v>
      </c>
      <c r="B18" t="s">
        <v>199</v>
      </c>
      <c r="C18" t="s">
        <v>575</v>
      </c>
      <c r="D18" t="s">
        <v>580</v>
      </c>
      <c r="E18" t="s">
        <v>128</v>
      </c>
      <c r="F18" t="s">
        <v>122</v>
      </c>
      <c r="G18" t="s">
        <v>121</v>
      </c>
      <c r="H18">
        <v>24</v>
      </c>
      <c r="L18" t="s">
        <v>579</v>
      </c>
      <c r="M18" t="s">
        <v>194</v>
      </c>
      <c r="O18">
        <v>10249</v>
      </c>
      <c r="P18">
        <v>37.597608000000001</v>
      </c>
      <c r="Q18">
        <v>126.886982</v>
      </c>
      <c r="R18" t="s">
        <v>578</v>
      </c>
      <c r="S18" t="s">
        <v>127</v>
      </c>
      <c r="T18" t="s">
        <v>577</v>
      </c>
      <c r="U18">
        <v>9159</v>
      </c>
      <c r="V18">
        <v>0</v>
      </c>
      <c r="W18">
        <v>422</v>
      </c>
      <c r="Y18">
        <v>53915</v>
      </c>
      <c r="Z18">
        <v>5009</v>
      </c>
      <c r="AC18" t="s">
        <v>576</v>
      </c>
      <c r="AD18">
        <v>0</v>
      </c>
      <c r="AE18">
        <v>0</v>
      </c>
      <c r="AF18">
        <v>0</v>
      </c>
      <c r="AG18">
        <v>0</v>
      </c>
      <c r="AH18">
        <v>0</v>
      </c>
      <c r="AI18">
        <v>0</v>
      </c>
    </row>
    <row r="19" spans="1:35" x14ac:dyDescent="0.45">
      <c r="A19" t="s">
        <v>199</v>
      </c>
      <c r="B19" t="s">
        <v>199</v>
      </c>
      <c r="C19" t="s">
        <v>575</v>
      </c>
      <c r="D19" t="s">
        <v>574</v>
      </c>
      <c r="E19" t="s">
        <v>128</v>
      </c>
      <c r="F19" t="s">
        <v>122</v>
      </c>
      <c r="G19" t="s">
        <v>121</v>
      </c>
      <c r="H19">
        <v>2</v>
      </c>
      <c r="L19" t="s">
        <v>573</v>
      </c>
      <c r="M19" t="s">
        <v>194</v>
      </c>
      <c r="O19">
        <v>10249</v>
      </c>
      <c r="P19">
        <v>37.596429000000001</v>
      </c>
      <c r="Q19">
        <v>126.886606</v>
      </c>
      <c r="R19" t="s">
        <v>572</v>
      </c>
      <c r="S19" t="s">
        <v>127</v>
      </c>
      <c r="T19" t="s">
        <v>571</v>
      </c>
      <c r="U19">
        <v>14865</v>
      </c>
      <c r="V19">
        <v>9158</v>
      </c>
      <c r="W19">
        <v>422</v>
      </c>
      <c r="Y19">
        <v>12152</v>
      </c>
      <c r="Z19">
        <v>1129</v>
      </c>
      <c r="AC19" t="s">
        <v>570</v>
      </c>
      <c r="AD19">
        <v>0</v>
      </c>
      <c r="AE19">
        <v>0</v>
      </c>
      <c r="AF19">
        <v>0</v>
      </c>
      <c r="AG19">
        <v>0</v>
      </c>
      <c r="AH19">
        <v>0</v>
      </c>
      <c r="AI19">
        <v>0</v>
      </c>
    </row>
    <row r="20" spans="1:35" x14ac:dyDescent="0.45">
      <c r="A20" t="s">
        <v>199</v>
      </c>
      <c r="B20" t="s">
        <v>199</v>
      </c>
      <c r="C20" t="s">
        <v>569</v>
      </c>
      <c r="D20" t="s">
        <v>568</v>
      </c>
      <c r="E20" t="s">
        <v>461</v>
      </c>
      <c r="F20" t="s">
        <v>122</v>
      </c>
      <c r="G20" t="s">
        <v>121</v>
      </c>
      <c r="I20">
        <v>1.6</v>
      </c>
      <c r="L20" t="s">
        <v>567</v>
      </c>
      <c r="M20" t="s">
        <v>194</v>
      </c>
      <c r="O20">
        <v>6292</v>
      </c>
      <c r="P20">
        <v>37.488138999999997</v>
      </c>
      <c r="Q20">
        <v>127.05116700000001</v>
      </c>
      <c r="R20" t="s">
        <v>566</v>
      </c>
      <c r="S20" t="s">
        <v>458</v>
      </c>
      <c r="T20" t="s">
        <v>565</v>
      </c>
      <c r="U20">
        <v>6222</v>
      </c>
      <c r="V20">
        <v>0</v>
      </c>
      <c r="W20">
        <v>4927</v>
      </c>
      <c r="AD20">
        <v>0</v>
      </c>
      <c r="AE20">
        <v>0</v>
      </c>
      <c r="AF20">
        <v>0</v>
      </c>
      <c r="AG20">
        <v>0</v>
      </c>
      <c r="AH20">
        <v>49</v>
      </c>
      <c r="AI20">
        <v>1</v>
      </c>
    </row>
    <row r="21" spans="1:35" x14ac:dyDescent="0.45">
      <c r="A21" t="s">
        <v>199</v>
      </c>
      <c r="B21" t="s">
        <v>199</v>
      </c>
      <c r="C21" t="s">
        <v>564</v>
      </c>
      <c r="D21" t="s">
        <v>563</v>
      </c>
      <c r="E21" t="s">
        <v>177</v>
      </c>
      <c r="F21" t="s">
        <v>170</v>
      </c>
      <c r="G21" t="s">
        <v>121</v>
      </c>
      <c r="L21" t="s">
        <v>562</v>
      </c>
      <c r="M21" t="s">
        <v>194</v>
      </c>
      <c r="O21">
        <v>8594</v>
      </c>
      <c r="P21">
        <v>37.483538000000003</v>
      </c>
      <c r="Q21">
        <v>126.878187</v>
      </c>
      <c r="R21" t="s">
        <v>561</v>
      </c>
      <c r="S21" t="s">
        <v>176</v>
      </c>
      <c r="T21" t="s">
        <v>560</v>
      </c>
      <c r="U21">
        <v>11350</v>
      </c>
      <c r="V21">
        <v>0</v>
      </c>
      <c r="W21">
        <v>8871</v>
      </c>
      <c r="AC21" t="s">
        <v>559</v>
      </c>
      <c r="AD21">
        <v>0</v>
      </c>
      <c r="AE21">
        <v>0</v>
      </c>
      <c r="AF21">
        <v>0</v>
      </c>
      <c r="AG21">
        <v>0</v>
      </c>
      <c r="AH21">
        <v>0</v>
      </c>
      <c r="AI21">
        <v>0</v>
      </c>
    </row>
    <row r="22" spans="1:35" x14ac:dyDescent="0.45">
      <c r="A22" t="s">
        <v>199</v>
      </c>
      <c r="B22" t="s">
        <v>199</v>
      </c>
      <c r="C22" t="s">
        <v>558</v>
      </c>
      <c r="D22" t="s">
        <v>557</v>
      </c>
      <c r="E22" t="s">
        <v>461</v>
      </c>
      <c r="F22" t="s">
        <v>122</v>
      </c>
      <c r="G22" t="s">
        <v>121</v>
      </c>
      <c r="I22">
        <v>1.8</v>
      </c>
      <c r="L22" t="s">
        <v>556</v>
      </c>
      <c r="M22" t="s">
        <v>194</v>
      </c>
      <c r="O22">
        <v>8503</v>
      </c>
      <c r="P22">
        <v>37.482095999999999</v>
      </c>
      <c r="Q22">
        <v>126.879733</v>
      </c>
      <c r="R22" t="s">
        <v>555</v>
      </c>
      <c r="S22" t="s">
        <v>458</v>
      </c>
      <c r="T22" t="s">
        <v>554</v>
      </c>
      <c r="U22">
        <v>7633</v>
      </c>
      <c r="V22">
        <v>8281</v>
      </c>
      <c r="W22">
        <v>4927</v>
      </c>
      <c r="AD22">
        <v>0</v>
      </c>
      <c r="AE22">
        <v>0</v>
      </c>
      <c r="AF22">
        <v>0</v>
      </c>
      <c r="AG22">
        <v>2</v>
      </c>
      <c r="AH22">
        <v>25</v>
      </c>
      <c r="AI22">
        <v>1</v>
      </c>
    </row>
    <row r="23" spans="1:35" x14ac:dyDescent="0.45">
      <c r="A23" t="s">
        <v>199</v>
      </c>
      <c r="B23" t="s">
        <v>199</v>
      </c>
      <c r="C23" t="s">
        <v>553</v>
      </c>
      <c r="D23" t="s">
        <v>552</v>
      </c>
      <c r="E23" t="s">
        <v>196</v>
      </c>
      <c r="F23" t="s">
        <v>122</v>
      </c>
      <c r="G23" t="s">
        <v>121</v>
      </c>
      <c r="L23" t="s">
        <v>551</v>
      </c>
      <c r="M23" t="s">
        <v>550</v>
      </c>
      <c r="O23">
        <v>0</v>
      </c>
      <c r="P23">
        <v>35.249856999999999</v>
      </c>
      <c r="Q23">
        <v>128.86331899999999</v>
      </c>
      <c r="R23" t="s">
        <v>549</v>
      </c>
      <c r="S23" t="s">
        <v>192</v>
      </c>
      <c r="T23" t="s">
        <v>548</v>
      </c>
      <c r="U23">
        <v>6140</v>
      </c>
      <c r="V23">
        <v>0</v>
      </c>
      <c r="W23">
        <v>4063</v>
      </c>
      <c r="AD23">
        <v>0</v>
      </c>
      <c r="AE23">
        <v>0</v>
      </c>
      <c r="AF23">
        <v>0</v>
      </c>
      <c r="AG23">
        <v>0</v>
      </c>
      <c r="AH23">
        <v>0</v>
      </c>
      <c r="AI23">
        <v>0</v>
      </c>
    </row>
    <row r="24" spans="1:35" x14ac:dyDescent="0.45">
      <c r="A24" t="s">
        <v>199</v>
      </c>
      <c r="B24" t="s">
        <v>199</v>
      </c>
      <c r="C24" t="s">
        <v>547</v>
      </c>
      <c r="D24" t="s">
        <v>546</v>
      </c>
      <c r="E24" t="s">
        <v>175</v>
      </c>
      <c r="F24" t="s">
        <v>123</v>
      </c>
      <c r="G24" t="s">
        <v>121</v>
      </c>
      <c r="H24">
        <v>64</v>
      </c>
      <c r="L24" t="s">
        <v>545</v>
      </c>
      <c r="M24" t="s">
        <v>194</v>
      </c>
      <c r="O24">
        <v>10012</v>
      </c>
      <c r="P24">
        <v>37.651148999999997</v>
      </c>
      <c r="Q24">
        <v>126.636118</v>
      </c>
      <c r="R24" t="s">
        <v>544</v>
      </c>
      <c r="S24" t="s">
        <v>174</v>
      </c>
      <c r="T24" t="s">
        <v>543</v>
      </c>
      <c r="U24">
        <v>14172</v>
      </c>
      <c r="V24">
        <v>0</v>
      </c>
      <c r="W24">
        <v>419</v>
      </c>
      <c r="Y24">
        <v>969990</v>
      </c>
      <c r="Z24">
        <v>90116</v>
      </c>
      <c r="AC24" t="s">
        <v>542</v>
      </c>
      <c r="AD24">
        <v>0</v>
      </c>
      <c r="AE24">
        <v>0</v>
      </c>
      <c r="AF24">
        <v>0</v>
      </c>
      <c r="AG24">
        <v>0</v>
      </c>
      <c r="AH24">
        <v>0</v>
      </c>
      <c r="AI24">
        <v>0</v>
      </c>
    </row>
    <row r="25" spans="1:35" x14ac:dyDescent="0.45">
      <c r="A25" t="s">
        <v>199</v>
      </c>
      <c r="B25" t="s">
        <v>199</v>
      </c>
      <c r="C25" t="s">
        <v>541</v>
      </c>
      <c r="D25" t="s">
        <v>540</v>
      </c>
      <c r="E25" t="s">
        <v>286</v>
      </c>
      <c r="F25" t="s">
        <v>122</v>
      </c>
      <c r="G25" t="s">
        <v>121</v>
      </c>
      <c r="L25" t="s">
        <v>539</v>
      </c>
      <c r="M25" t="s">
        <v>194</v>
      </c>
      <c r="O25">
        <v>10366</v>
      </c>
      <c r="P25">
        <v>37.664012999999997</v>
      </c>
      <c r="Q25">
        <v>126.76887000000001</v>
      </c>
      <c r="R25" t="s">
        <v>538</v>
      </c>
      <c r="S25" t="s">
        <v>283</v>
      </c>
      <c r="T25" t="s">
        <v>537</v>
      </c>
      <c r="U25">
        <v>13367</v>
      </c>
      <c r="V25">
        <v>0</v>
      </c>
      <c r="W25">
        <v>6265</v>
      </c>
      <c r="Y25">
        <v>330879</v>
      </c>
      <c r="Z25">
        <v>30740</v>
      </c>
      <c r="AD25">
        <v>0</v>
      </c>
      <c r="AE25">
        <v>0</v>
      </c>
      <c r="AF25">
        <v>0</v>
      </c>
      <c r="AG25">
        <v>0</v>
      </c>
      <c r="AH25">
        <v>0</v>
      </c>
      <c r="AI25">
        <v>0</v>
      </c>
    </row>
    <row r="26" spans="1:35" x14ac:dyDescent="0.45">
      <c r="A26" t="s">
        <v>199</v>
      </c>
      <c r="B26" t="s">
        <v>199</v>
      </c>
      <c r="C26" t="s">
        <v>536</v>
      </c>
      <c r="D26" t="s">
        <v>535</v>
      </c>
      <c r="E26" t="s">
        <v>249</v>
      </c>
      <c r="F26" t="s">
        <v>123</v>
      </c>
      <c r="G26" t="s">
        <v>121</v>
      </c>
      <c r="L26" t="s">
        <v>534</v>
      </c>
      <c r="M26" t="s">
        <v>241</v>
      </c>
      <c r="O26">
        <v>39376</v>
      </c>
      <c r="P26">
        <v>36.100526000000002</v>
      </c>
      <c r="Q26">
        <v>128.39103399999999</v>
      </c>
      <c r="R26" t="s">
        <v>533</v>
      </c>
      <c r="S26" t="s">
        <v>246</v>
      </c>
      <c r="T26" t="s">
        <v>532</v>
      </c>
      <c r="U26">
        <v>14395</v>
      </c>
      <c r="V26">
        <v>0</v>
      </c>
      <c r="W26">
        <v>2050</v>
      </c>
      <c r="AD26">
        <v>0</v>
      </c>
      <c r="AE26">
        <v>0</v>
      </c>
      <c r="AF26">
        <v>0</v>
      </c>
      <c r="AG26">
        <v>0</v>
      </c>
      <c r="AH26">
        <v>0</v>
      </c>
      <c r="AI26">
        <v>0</v>
      </c>
    </row>
    <row r="27" spans="1:35" x14ac:dyDescent="0.45">
      <c r="A27" t="s">
        <v>199</v>
      </c>
      <c r="B27" t="s">
        <v>199</v>
      </c>
      <c r="C27" t="s">
        <v>531</v>
      </c>
      <c r="D27" t="s">
        <v>530</v>
      </c>
      <c r="E27" t="s">
        <v>529</v>
      </c>
      <c r="F27" t="s">
        <v>122</v>
      </c>
      <c r="G27" t="s">
        <v>121</v>
      </c>
      <c r="H27">
        <v>14</v>
      </c>
      <c r="J27">
        <v>2024</v>
      </c>
      <c r="L27" t="s">
        <v>528</v>
      </c>
      <c r="M27" t="s">
        <v>527</v>
      </c>
      <c r="O27">
        <v>13840</v>
      </c>
      <c r="P27">
        <v>37.416998999999997</v>
      </c>
      <c r="Q27">
        <v>126.97833300000001</v>
      </c>
      <c r="R27" t="s">
        <v>526</v>
      </c>
      <c r="S27" t="s">
        <v>525</v>
      </c>
      <c r="T27" t="s">
        <v>524</v>
      </c>
      <c r="U27">
        <v>14272</v>
      </c>
      <c r="V27">
        <v>0</v>
      </c>
      <c r="W27">
        <v>13002</v>
      </c>
      <c r="X27" t="s">
        <v>523</v>
      </c>
      <c r="Y27">
        <v>107638</v>
      </c>
      <c r="Z27">
        <v>10000</v>
      </c>
      <c r="AD27">
        <v>0</v>
      </c>
      <c r="AE27">
        <v>0</v>
      </c>
      <c r="AF27">
        <v>0</v>
      </c>
      <c r="AG27">
        <v>0</v>
      </c>
      <c r="AH27">
        <v>0</v>
      </c>
      <c r="AI27">
        <v>0</v>
      </c>
    </row>
    <row r="28" spans="1:35" x14ac:dyDescent="0.45">
      <c r="A28" t="s">
        <v>199</v>
      </c>
      <c r="B28" t="s">
        <v>199</v>
      </c>
      <c r="C28" t="s">
        <v>522</v>
      </c>
      <c r="D28" t="s">
        <v>521</v>
      </c>
      <c r="E28" t="s">
        <v>461</v>
      </c>
      <c r="F28" t="s">
        <v>122</v>
      </c>
      <c r="G28" t="s">
        <v>121</v>
      </c>
      <c r="H28">
        <v>10</v>
      </c>
      <c r="I28">
        <v>1.3</v>
      </c>
      <c r="J28">
        <v>2024</v>
      </c>
      <c r="K28">
        <v>3</v>
      </c>
      <c r="L28" t="s">
        <v>520</v>
      </c>
      <c r="M28" t="s">
        <v>194</v>
      </c>
      <c r="O28">
        <v>13840</v>
      </c>
      <c r="P28">
        <v>35.907756999999997</v>
      </c>
      <c r="Q28">
        <v>127.76692199999999</v>
      </c>
      <c r="R28" t="s">
        <v>519</v>
      </c>
      <c r="S28" t="s">
        <v>458</v>
      </c>
      <c r="T28" t="s">
        <v>518</v>
      </c>
      <c r="U28">
        <v>11665</v>
      </c>
      <c r="V28">
        <v>0</v>
      </c>
      <c r="W28">
        <v>4927</v>
      </c>
      <c r="AD28">
        <v>0</v>
      </c>
      <c r="AE28">
        <v>0</v>
      </c>
      <c r="AF28">
        <v>0</v>
      </c>
      <c r="AG28">
        <v>0</v>
      </c>
      <c r="AH28">
        <v>0</v>
      </c>
      <c r="AI28">
        <v>0</v>
      </c>
    </row>
    <row r="29" spans="1:35" x14ac:dyDescent="0.45">
      <c r="A29" t="s">
        <v>199</v>
      </c>
      <c r="B29" t="s">
        <v>199</v>
      </c>
      <c r="C29" t="s">
        <v>509</v>
      </c>
      <c r="D29" t="s">
        <v>517</v>
      </c>
      <c r="E29" t="s">
        <v>516</v>
      </c>
      <c r="F29" t="s">
        <v>122</v>
      </c>
      <c r="G29" t="s">
        <v>121</v>
      </c>
      <c r="H29">
        <v>40</v>
      </c>
      <c r="L29" t="s">
        <v>507</v>
      </c>
      <c r="M29" t="s">
        <v>194</v>
      </c>
      <c r="O29" t="s">
        <v>506</v>
      </c>
      <c r="P29">
        <v>37.551296000000001</v>
      </c>
      <c r="Q29">
        <v>127.19493900000001</v>
      </c>
      <c r="R29" t="s">
        <v>515</v>
      </c>
      <c r="S29" t="s">
        <v>514</v>
      </c>
      <c r="T29" t="s">
        <v>513</v>
      </c>
      <c r="U29">
        <v>14209</v>
      </c>
      <c r="V29">
        <v>0</v>
      </c>
      <c r="W29">
        <v>12978</v>
      </c>
      <c r="Y29">
        <v>451207</v>
      </c>
      <c r="Z29">
        <v>41919</v>
      </c>
      <c r="AD29">
        <v>0</v>
      </c>
      <c r="AE29">
        <v>0</v>
      </c>
      <c r="AF29">
        <v>2</v>
      </c>
      <c r="AG29">
        <v>0</v>
      </c>
      <c r="AH29">
        <v>0</v>
      </c>
      <c r="AI29">
        <v>0</v>
      </c>
    </row>
    <row r="30" spans="1:35" x14ac:dyDescent="0.45">
      <c r="A30" t="s">
        <v>199</v>
      </c>
      <c r="B30" t="s">
        <v>199</v>
      </c>
      <c r="C30" t="s">
        <v>509</v>
      </c>
      <c r="D30" t="s">
        <v>512</v>
      </c>
      <c r="E30" t="s">
        <v>448</v>
      </c>
      <c r="F30" t="s">
        <v>122</v>
      </c>
      <c r="G30" t="s">
        <v>121</v>
      </c>
      <c r="L30" t="s">
        <v>507</v>
      </c>
      <c r="M30" t="s">
        <v>194</v>
      </c>
      <c r="O30" t="s">
        <v>506</v>
      </c>
      <c r="P30">
        <v>37.551296000000001</v>
      </c>
      <c r="Q30">
        <v>127.19493900000001</v>
      </c>
      <c r="R30" t="s">
        <v>511</v>
      </c>
      <c r="S30" t="s">
        <v>445</v>
      </c>
      <c r="T30" t="s">
        <v>510</v>
      </c>
      <c r="U30">
        <v>14211</v>
      </c>
      <c r="V30">
        <v>14209</v>
      </c>
      <c r="W30">
        <v>12979</v>
      </c>
      <c r="AD30">
        <v>0</v>
      </c>
      <c r="AE30">
        <v>0</v>
      </c>
      <c r="AF30">
        <v>0</v>
      </c>
      <c r="AG30">
        <v>0</v>
      </c>
      <c r="AH30">
        <v>0</v>
      </c>
      <c r="AI30">
        <v>0</v>
      </c>
    </row>
    <row r="31" spans="1:35" x14ac:dyDescent="0.45">
      <c r="A31" t="s">
        <v>199</v>
      </c>
      <c r="B31" t="s">
        <v>199</v>
      </c>
      <c r="C31" t="s">
        <v>509</v>
      </c>
      <c r="D31" t="s">
        <v>508</v>
      </c>
      <c r="E31" t="s">
        <v>212</v>
      </c>
      <c r="F31" t="s">
        <v>122</v>
      </c>
      <c r="G31" t="s">
        <v>121</v>
      </c>
      <c r="L31" t="s">
        <v>507</v>
      </c>
      <c r="M31" t="s">
        <v>194</v>
      </c>
      <c r="O31" t="s">
        <v>506</v>
      </c>
      <c r="P31">
        <v>37.551296000000001</v>
      </c>
      <c r="Q31">
        <v>127.19493900000001</v>
      </c>
      <c r="R31" t="s">
        <v>505</v>
      </c>
      <c r="S31" t="s">
        <v>209</v>
      </c>
      <c r="T31" t="s">
        <v>504</v>
      </c>
      <c r="U31">
        <v>14210</v>
      </c>
      <c r="V31">
        <v>14209</v>
      </c>
      <c r="W31">
        <v>9903</v>
      </c>
      <c r="AD31">
        <v>0</v>
      </c>
      <c r="AE31">
        <v>0</v>
      </c>
      <c r="AF31">
        <v>0</v>
      </c>
      <c r="AG31">
        <v>0</v>
      </c>
      <c r="AH31">
        <v>0</v>
      </c>
      <c r="AI31">
        <v>0</v>
      </c>
    </row>
    <row r="32" spans="1:35" x14ac:dyDescent="0.45">
      <c r="A32" t="s">
        <v>199</v>
      </c>
      <c r="B32" t="s">
        <v>199</v>
      </c>
      <c r="C32" t="s">
        <v>503</v>
      </c>
      <c r="D32" t="s">
        <v>502</v>
      </c>
      <c r="E32" t="s">
        <v>249</v>
      </c>
      <c r="F32" t="s">
        <v>122</v>
      </c>
      <c r="G32" t="s">
        <v>121</v>
      </c>
      <c r="I32">
        <v>1.1200000000000001</v>
      </c>
      <c r="J32">
        <v>2022</v>
      </c>
      <c r="L32" t="s">
        <v>501</v>
      </c>
      <c r="M32" t="s">
        <v>203</v>
      </c>
      <c r="O32">
        <v>18488</v>
      </c>
      <c r="P32">
        <v>37.176732000000001</v>
      </c>
      <c r="Q32">
        <v>127.09986499999999</v>
      </c>
      <c r="R32" t="s">
        <v>500</v>
      </c>
      <c r="S32" t="s">
        <v>246</v>
      </c>
      <c r="T32" t="s">
        <v>499</v>
      </c>
      <c r="U32">
        <v>14399</v>
      </c>
      <c r="V32">
        <v>0</v>
      </c>
      <c r="W32">
        <v>2050</v>
      </c>
      <c r="AD32">
        <v>0</v>
      </c>
      <c r="AE32">
        <v>0</v>
      </c>
      <c r="AF32">
        <v>0</v>
      </c>
      <c r="AG32">
        <v>0</v>
      </c>
      <c r="AH32">
        <v>0</v>
      </c>
      <c r="AI32">
        <v>0</v>
      </c>
    </row>
    <row r="33" spans="1:35" x14ac:dyDescent="0.45">
      <c r="A33" t="s">
        <v>199</v>
      </c>
      <c r="B33" t="s">
        <v>199</v>
      </c>
      <c r="C33" t="s">
        <v>421</v>
      </c>
      <c r="D33" t="s">
        <v>498</v>
      </c>
      <c r="E33" t="s">
        <v>132</v>
      </c>
      <c r="F33" t="s">
        <v>170</v>
      </c>
      <c r="G33" t="s">
        <v>121</v>
      </c>
      <c r="H33">
        <v>120</v>
      </c>
      <c r="L33" t="s">
        <v>497</v>
      </c>
      <c r="M33" t="s">
        <v>194</v>
      </c>
      <c r="O33" t="s">
        <v>496</v>
      </c>
      <c r="P33">
        <v>37.518000000000001</v>
      </c>
      <c r="Q33">
        <v>126.7109</v>
      </c>
      <c r="R33" t="s">
        <v>495</v>
      </c>
      <c r="S33" t="s">
        <v>131</v>
      </c>
      <c r="T33" t="s">
        <v>494</v>
      </c>
      <c r="U33">
        <v>10880</v>
      </c>
      <c r="V33">
        <v>0</v>
      </c>
      <c r="W33">
        <v>11753</v>
      </c>
      <c r="AC33" t="s">
        <v>493</v>
      </c>
      <c r="AD33">
        <v>0</v>
      </c>
      <c r="AE33">
        <v>0</v>
      </c>
      <c r="AF33">
        <v>0</v>
      </c>
      <c r="AG33">
        <v>0</v>
      </c>
      <c r="AH33">
        <v>1</v>
      </c>
      <c r="AI33">
        <v>0</v>
      </c>
    </row>
    <row r="34" spans="1:35" x14ac:dyDescent="0.45">
      <c r="A34" t="s">
        <v>199</v>
      </c>
      <c r="B34" t="s">
        <v>199</v>
      </c>
      <c r="C34" t="s">
        <v>421</v>
      </c>
      <c r="D34" t="s">
        <v>492</v>
      </c>
      <c r="E34" t="s">
        <v>383</v>
      </c>
      <c r="F34" t="s">
        <v>122</v>
      </c>
      <c r="G34" t="s">
        <v>121</v>
      </c>
      <c r="L34" t="s">
        <v>491</v>
      </c>
      <c r="M34" t="s">
        <v>421</v>
      </c>
      <c r="O34">
        <v>22830</v>
      </c>
      <c r="P34">
        <v>37.480054000000003</v>
      </c>
      <c r="Q34">
        <v>126.679912</v>
      </c>
      <c r="R34" t="s">
        <v>490</v>
      </c>
      <c r="S34" t="s">
        <v>380</v>
      </c>
      <c r="T34" t="s">
        <v>489</v>
      </c>
      <c r="U34">
        <v>14315</v>
      </c>
      <c r="V34">
        <v>0</v>
      </c>
      <c r="W34">
        <v>13033</v>
      </c>
      <c r="AD34">
        <v>0</v>
      </c>
      <c r="AE34">
        <v>0</v>
      </c>
      <c r="AF34">
        <v>0</v>
      </c>
      <c r="AG34">
        <v>0</v>
      </c>
      <c r="AH34">
        <v>0</v>
      </c>
      <c r="AI34">
        <v>0</v>
      </c>
    </row>
    <row r="35" spans="1:35" x14ac:dyDescent="0.45">
      <c r="A35" t="s">
        <v>199</v>
      </c>
      <c r="B35" t="s">
        <v>199</v>
      </c>
      <c r="C35" t="s">
        <v>421</v>
      </c>
      <c r="D35" t="s">
        <v>488</v>
      </c>
      <c r="E35" t="s">
        <v>212</v>
      </c>
      <c r="F35" t="s">
        <v>122</v>
      </c>
      <c r="G35" t="s">
        <v>121</v>
      </c>
      <c r="H35">
        <v>7</v>
      </c>
      <c r="J35">
        <v>1992</v>
      </c>
      <c r="L35" t="s">
        <v>487</v>
      </c>
      <c r="M35" t="s">
        <v>421</v>
      </c>
      <c r="O35">
        <v>21112</v>
      </c>
      <c r="P35">
        <v>37.527388999999999</v>
      </c>
      <c r="Q35">
        <v>126.715002</v>
      </c>
      <c r="R35" t="s">
        <v>486</v>
      </c>
      <c r="S35" t="s">
        <v>209</v>
      </c>
      <c r="T35" t="s">
        <v>485</v>
      </c>
      <c r="U35">
        <v>11019</v>
      </c>
      <c r="V35">
        <v>0</v>
      </c>
      <c r="W35">
        <v>9903</v>
      </c>
      <c r="Y35">
        <v>43840</v>
      </c>
      <c r="Z35">
        <v>4073</v>
      </c>
      <c r="AA35">
        <v>154202</v>
      </c>
      <c r="AB35">
        <v>14326</v>
      </c>
      <c r="AD35">
        <v>0</v>
      </c>
      <c r="AE35">
        <v>0</v>
      </c>
      <c r="AF35">
        <v>0</v>
      </c>
      <c r="AG35">
        <v>0</v>
      </c>
      <c r="AH35">
        <v>0</v>
      </c>
      <c r="AI35">
        <v>0</v>
      </c>
    </row>
    <row r="36" spans="1:35" x14ac:dyDescent="0.45">
      <c r="A36" t="s">
        <v>199</v>
      </c>
      <c r="B36" t="s">
        <v>199</v>
      </c>
      <c r="C36" t="s">
        <v>421</v>
      </c>
      <c r="D36" t="s">
        <v>484</v>
      </c>
      <c r="E36" t="s">
        <v>179</v>
      </c>
      <c r="F36" t="s">
        <v>170</v>
      </c>
      <c r="G36" t="s">
        <v>121</v>
      </c>
      <c r="H36">
        <v>48</v>
      </c>
      <c r="L36" t="s">
        <v>483</v>
      </c>
      <c r="M36" t="s">
        <v>194</v>
      </c>
      <c r="O36">
        <v>21314</v>
      </c>
      <c r="P36">
        <v>37.520625000000003</v>
      </c>
      <c r="Q36">
        <v>126.711969</v>
      </c>
      <c r="R36" t="s">
        <v>482</v>
      </c>
      <c r="S36" t="s">
        <v>178</v>
      </c>
      <c r="T36" t="s">
        <v>481</v>
      </c>
      <c r="U36">
        <v>14348</v>
      </c>
      <c r="V36">
        <v>0</v>
      </c>
      <c r="W36">
        <v>4597</v>
      </c>
      <c r="AC36" t="s">
        <v>480</v>
      </c>
      <c r="AD36">
        <v>0</v>
      </c>
      <c r="AE36">
        <v>0</v>
      </c>
      <c r="AF36">
        <v>0</v>
      </c>
      <c r="AG36">
        <v>0</v>
      </c>
      <c r="AH36">
        <v>0</v>
      </c>
      <c r="AI36">
        <v>0</v>
      </c>
    </row>
    <row r="37" spans="1:35" x14ac:dyDescent="0.45">
      <c r="A37" t="s">
        <v>199</v>
      </c>
      <c r="B37" t="s">
        <v>199</v>
      </c>
      <c r="C37" t="s">
        <v>479</v>
      </c>
      <c r="D37" t="s">
        <v>478</v>
      </c>
      <c r="E37" t="s">
        <v>477</v>
      </c>
      <c r="F37" t="s">
        <v>122</v>
      </c>
      <c r="G37" t="s">
        <v>121</v>
      </c>
      <c r="L37" t="s">
        <v>476</v>
      </c>
      <c r="M37" t="s">
        <v>194</v>
      </c>
      <c r="O37">
        <v>6595</v>
      </c>
      <c r="P37">
        <v>37.493490000000001</v>
      </c>
      <c r="Q37">
        <v>127.00996000000001</v>
      </c>
      <c r="R37" t="s">
        <v>475</v>
      </c>
      <c r="S37" t="s">
        <v>474</v>
      </c>
      <c r="T37" t="s">
        <v>473</v>
      </c>
      <c r="U37">
        <v>5869</v>
      </c>
      <c r="V37">
        <v>5803</v>
      </c>
      <c r="W37">
        <v>4560</v>
      </c>
      <c r="AD37">
        <v>0</v>
      </c>
      <c r="AE37">
        <v>0</v>
      </c>
      <c r="AF37">
        <v>0</v>
      </c>
      <c r="AG37">
        <v>0</v>
      </c>
      <c r="AH37">
        <v>0</v>
      </c>
      <c r="AI37">
        <v>0</v>
      </c>
    </row>
    <row r="38" spans="1:35" x14ac:dyDescent="0.45">
      <c r="A38" t="s">
        <v>199</v>
      </c>
      <c r="B38" t="s">
        <v>199</v>
      </c>
      <c r="C38" t="s">
        <v>463</v>
      </c>
      <c r="D38" t="s">
        <v>472</v>
      </c>
      <c r="E38" t="s">
        <v>128</v>
      </c>
      <c r="F38" t="s">
        <v>122</v>
      </c>
      <c r="G38" t="s">
        <v>121</v>
      </c>
      <c r="H38">
        <v>2</v>
      </c>
      <c r="L38" t="s">
        <v>471</v>
      </c>
      <c r="M38" t="s">
        <v>194</v>
      </c>
      <c r="O38">
        <v>3922</v>
      </c>
      <c r="P38">
        <v>37.582991999999997</v>
      </c>
      <c r="Q38">
        <v>126.887157</v>
      </c>
      <c r="R38" t="s">
        <v>470</v>
      </c>
      <c r="S38" t="s">
        <v>127</v>
      </c>
      <c r="T38" t="s">
        <v>469</v>
      </c>
      <c r="U38">
        <v>9157</v>
      </c>
      <c r="V38">
        <v>14398</v>
      </c>
      <c r="W38">
        <v>422</v>
      </c>
      <c r="Y38">
        <v>38405</v>
      </c>
      <c r="Z38">
        <v>3568</v>
      </c>
      <c r="AC38" t="s">
        <v>468</v>
      </c>
      <c r="AD38">
        <v>1</v>
      </c>
      <c r="AE38">
        <v>0</v>
      </c>
      <c r="AF38">
        <v>0</v>
      </c>
      <c r="AG38">
        <v>0</v>
      </c>
      <c r="AH38">
        <v>18</v>
      </c>
      <c r="AI38">
        <v>1</v>
      </c>
    </row>
    <row r="39" spans="1:35" x14ac:dyDescent="0.45">
      <c r="A39" t="s">
        <v>199</v>
      </c>
      <c r="B39" t="s">
        <v>199</v>
      </c>
      <c r="C39" t="s">
        <v>463</v>
      </c>
      <c r="D39" t="s">
        <v>467</v>
      </c>
      <c r="E39" t="s">
        <v>461</v>
      </c>
      <c r="F39" t="s">
        <v>122</v>
      </c>
      <c r="G39" t="s">
        <v>121</v>
      </c>
      <c r="I39">
        <v>1.8</v>
      </c>
      <c r="L39" t="s">
        <v>466</v>
      </c>
      <c r="M39" t="s">
        <v>194</v>
      </c>
      <c r="O39">
        <v>3923</v>
      </c>
      <c r="P39">
        <v>37.581059000000003</v>
      </c>
      <c r="Q39">
        <v>126.88683899999999</v>
      </c>
      <c r="R39" t="s">
        <v>465</v>
      </c>
      <c r="S39" t="s">
        <v>458</v>
      </c>
      <c r="T39" t="s">
        <v>464</v>
      </c>
      <c r="U39">
        <v>7637</v>
      </c>
      <c r="V39">
        <v>11018</v>
      </c>
      <c r="W39">
        <v>4927</v>
      </c>
      <c r="AD39">
        <v>0</v>
      </c>
      <c r="AE39">
        <v>0</v>
      </c>
      <c r="AF39">
        <v>0</v>
      </c>
      <c r="AG39">
        <v>1</v>
      </c>
      <c r="AH39">
        <v>1</v>
      </c>
      <c r="AI39">
        <v>0</v>
      </c>
    </row>
    <row r="40" spans="1:35" x14ac:dyDescent="0.45">
      <c r="A40" t="s">
        <v>199</v>
      </c>
      <c r="B40" t="s">
        <v>199</v>
      </c>
      <c r="C40" t="s">
        <v>463</v>
      </c>
      <c r="D40" t="s">
        <v>462</v>
      </c>
      <c r="E40" t="s">
        <v>461</v>
      </c>
      <c r="F40" t="s">
        <v>122</v>
      </c>
      <c r="G40" t="s">
        <v>121</v>
      </c>
      <c r="I40">
        <v>1.3</v>
      </c>
      <c r="L40" t="s">
        <v>460</v>
      </c>
      <c r="M40" t="s">
        <v>194</v>
      </c>
      <c r="O40">
        <v>3922</v>
      </c>
      <c r="P40">
        <v>37.582236000000002</v>
      </c>
      <c r="Q40">
        <v>126.886517</v>
      </c>
      <c r="R40" t="s">
        <v>459</v>
      </c>
      <c r="S40" t="s">
        <v>458</v>
      </c>
      <c r="T40" t="s">
        <v>457</v>
      </c>
      <c r="U40">
        <v>11664</v>
      </c>
      <c r="V40">
        <v>0</v>
      </c>
      <c r="W40">
        <v>4927</v>
      </c>
      <c r="AD40">
        <v>0</v>
      </c>
      <c r="AE40">
        <v>0</v>
      </c>
      <c r="AF40">
        <v>0</v>
      </c>
      <c r="AG40">
        <v>0</v>
      </c>
      <c r="AH40">
        <v>0</v>
      </c>
      <c r="AI40">
        <v>0</v>
      </c>
    </row>
    <row r="41" spans="1:35" x14ac:dyDescent="0.45">
      <c r="A41" t="s">
        <v>199</v>
      </c>
      <c r="B41" t="s">
        <v>199</v>
      </c>
      <c r="C41" t="s">
        <v>456</v>
      </c>
      <c r="D41" t="s">
        <v>455</v>
      </c>
      <c r="E41" t="s">
        <v>126</v>
      </c>
      <c r="F41" t="s">
        <v>123</v>
      </c>
      <c r="G41" t="s">
        <v>125</v>
      </c>
      <c r="H41">
        <v>100</v>
      </c>
      <c r="L41" t="s">
        <v>454</v>
      </c>
      <c r="M41" t="s">
        <v>453</v>
      </c>
      <c r="O41">
        <v>44784</v>
      </c>
      <c r="P41">
        <v>35.468673000000003</v>
      </c>
      <c r="Q41">
        <v>129.37776700000001</v>
      </c>
      <c r="R41" t="s">
        <v>452</v>
      </c>
      <c r="S41" t="s">
        <v>124</v>
      </c>
      <c r="T41" t="s">
        <v>451</v>
      </c>
      <c r="U41">
        <v>14691</v>
      </c>
      <c r="V41">
        <v>0</v>
      </c>
      <c r="W41">
        <v>1569</v>
      </c>
      <c r="AD41">
        <v>0</v>
      </c>
      <c r="AE41">
        <v>0</v>
      </c>
      <c r="AF41">
        <v>0</v>
      </c>
      <c r="AG41">
        <v>0</v>
      </c>
      <c r="AH41">
        <v>0</v>
      </c>
      <c r="AI41">
        <v>0</v>
      </c>
    </row>
    <row r="42" spans="1:35" x14ac:dyDescent="0.45">
      <c r="A42" t="s">
        <v>199</v>
      </c>
      <c r="B42" t="s">
        <v>199</v>
      </c>
      <c r="C42" t="s">
        <v>450</v>
      </c>
      <c r="D42" t="s">
        <v>449</v>
      </c>
      <c r="E42" t="s">
        <v>448</v>
      </c>
      <c r="F42" t="s">
        <v>123</v>
      </c>
      <c r="G42" t="s">
        <v>121</v>
      </c>
      <c r="H42">
        <v>40</v>
      </c>
      <c r="L42" t="s">
        <v>447</v>
      </c>
      <c r="M42" t="s">
        <v>194</v>
      </c>
      <c r="O42" t="s">
        <v>171</v>
      </c>
      <c r="R42" t="s">
        <v>446</v>
      </c>
      <c r="S42" t="s">
        <v>445</v>
      </c>
      <c r="T42" t="s">
        <v>444</v>
      </c>
      <c r="U42">
        <v>14494</v>
      </c>
      <c r="V42">
        <v>0</v>
      </c>
      <c r="W42">
        <v>12979</v>
      </c>
      <c r="Y42">
        <v>990269</v>
      </c>
      <c r="Z42">
        <v>92000</v>
      </c>
      <c r="AD42">
        <v>0</v>
      </c>
      <c r="AE42">
        <v>0</v>
      </c>
      <c r="AF42">
        <v>0</v>
      </c>
      <c r="AG42">
        <v>0</v>
      </c>
      <c r="AH42">
        <v>0</v>
      </c>
      <c r="AI42">
        <v>0</v>
      </c>
    </row>
    <row r="43" spans="1:35" x14ac:dyDescent="0.45">
      <c r="A43" t="s">
        <v>199</v>
      </c>
      <c r="B43" t="s">
        <v>199</v>
      </c>
      <c r="C43" t="s">
        <v>443</v>
      </c>
      <c r="D43" t="s">
        <v>442</v>
      </c>
      <c r="E43" t="s">
        <v>416</v>
      </c>
      <c r="F43" t="s">
        <v>123</v>
      </c>
      <c r="G43" t="s">
        <v>121</v>
      </c>
      <c r="L43" t="s">
        <v>441</v>
      </c>
      <c r="M43" t="s">
        <v>194</v>
      </c>
      <c r="O43">
        <v>10845</v>
      </c>
      <c r="R43" t="s">
        <v>440</v>
      </c>
      <c r="S43" t="s">
        <v>413</v>
      </c>
      <c r="T43" t="s">
        <v>439</v>
      </c>
      <c r="U43">
        <v>11730</v>
      </c>
      <c r="V43">
        <v>0</v>
      </c>
      <c r="W43">
        <v>5239</v>
      </c>
      <c r="AA43">
        <v>793399</v>
      </c>
      <c r="AB43">
        <v>73710</v>
      </c>
      <c r="AD43">
        <v>0</v>
      </c>
      <c r="AE43">
        <v>0</v>
      </c>
      <c r="AF43">
        <v>0</v>
      </c>
      <c r="AG43">
        <v>0</v>
      </c>
      <c r="AH43">
        <v>0</v>
      </c>
      <c r="AI43">
        <v>0</v>
      </c>
    </row>
    <row r="44" spans="1:35" x14ac:dyDescent="0.45">
      <c r="A44" t="s">
        <v>199</v>
      </c>
      <c r="B44" t="s">
        <v>199</v>
      </c>
      <c r="C44" t="s">
        <v>432</v>
      </c>
      <c r="D44" t="s">
        <v>438</v>
      </c>
      <c r="E44" t="s">
        <v>437</v>
      </c>
      <c r="F44" t="s">
        <v>122</v>
      </c>
      <c r="G44" t="s">
        <v>125</v>
      </c>
      <c r="H44">
        <v>270</v>
      </c>
      <c r="J44">
        <v>2023</v>
      </c>
      <c r="L44" t="s">
        <v>436</v>
      </c>
      <c r="M44" t="s">
        <v>428</v>
      </c>
      <c r="O44">
        <v>30138</v>
      </c>
      <c r="P44">
        <v>36.508392999999998</v>
      </c>
      <c r="Q44">
        <v>127.34057300000001</v>
      </c>
      <c r="R44" t="s">
        <v>435</v>
      </c>
      <c r="S44" t="s">
        <v>434</v>
      </c>
      <c r="T44" t="s">
        <v>433</v>
      </c>
      <c r="U44">
        <v>14218</v>
      </c>
      <c r="V44">
        <v>0</v>
      </c>
      <c r="W44">
        <v>12985</v>
      </c>
      <c r="Y44">
        <v>3121502</v>
      </c>
      <c r="Z44">
        <v>290000</v>
      </c>
      <c r="AD44">
        <v>0</v>
      </c>
      <c r="AE44">
        <v>0</v>
      </c>
      <c r="AF44">
        <v>0</v>
      </c>
      <c r="AG44">
        <v>0</v>
      </c>
      <c r="AH44">
        <v>0</v>
      </c>
      <c r="AI44">
        <v>0</v>
      </c>
    </row>
    <row r="45" spans="1:35" x14ac:dyDescent="0.45">
      <c r="A45" t="s">
        <v>199</v>
      </c>
      <c r="B45" t="s">
        <v>199</v>
      </c>
      <c r="C45" t="s">
        <v>432</v>
      </c>
      <c r="D45" t="s">
        <v>431</v>
      </c>
      <c r="E45" t="s">
        <v>430</v>
      </c>
      <c r="F45" t="s">
        <v>123</v>
      </c>
      <c r="G45" t="s">
        <v>121</v>
      </c>
      <c r="H45">
        <v>40</v>
      </c>
      <c r="L45" t="s">
        <v>429</v>
      </c>
      <c r="M45" t="s">
        <v>428</v>
      </c>
      <c r="O45">
        <v>30121</v>
      </c>
      <c r="P45">
        <v>36.496844000000003</v>
      </c>
      <c r="Q45">
        <v>127.26151400000001</v>
      </c>
      <c r="R45" t="s">
        <v>427</v>
      </c>
      <c r="S45" t="s">
        <v>426</v>
      </c>
      <c r="T45" t="s">
        <v>425</v>
      </c>
      <c r="U45">
        <v>13976</v>
      </c>
      <c r="V45">
        <v>0</v>
      </c>
      <c r="W45">
        <v>12914</v>
      </c>
      <c r="Y45">
        <v>322914</v>
      </c>
      <c r="Z45">
        <v>30000</v>
      </c>
      <c r="AD45">
        <v>0</v>
      </c>
      <c r="AE45">
        <v>0</v>
      </c>
      <c r="AF45">
        <v>0</v>
      </c>
      <c r="AG45">
        <v>0</v>
      </c>
      <c r="AH45">
        <v>0</v>
      </c>
      <c r="AI45">
        <v>0</v>
      </c>
    </row>
    <row r="46" spans="1:35" x14ac:dyDescent="0.45">
      <c r="A46" t="s">
        <v>199</v>
      </c>
      <c r="B46" t="s">
        <v>199</v>
      </c>
      <c r="C46" t="s">
        <v>424</v>
      </c>
      <c r="D46" t="s">
        <v>423</v>
      </c>
      <c r="E46" t="s">
        <v>126</v>
      </c>
      <c r="F46" t="s">
        <v>123</v>
      </c>
      <c r="G46" t="s">
        <v>125</v>
      </c>
      <c r="L46" t="s">
        <v>422</v>
      </c>
      <c r="M46" t="s">
        <v>421</v>
      </c>
      <c r="O46">
        <v>22839</v>
      </c>
      <c r="P46">
        <v>37.487005000000003</v>
      </c>
      <c r="Q46">
        <v>126.665442</v>
      </c>
      <c r="R46" t="s">
        <v>420</v>
      </c>
      <c r="S46" t="s">
        <v>124</v>
      </c>
      <c r="T46" t="s">
        <v>419</v>
      </c>
      <c r="U46">
        <v>14692</v>
      </c>
      <c r="V46">
        <v>0</v>
      </c>
      <c r="W46">
        <v>1569</v>
      </c>
      <c r="Y46">
        <v>482347</v>
      </c>
      <c r="Z46">
        <v>44812</v>
      </c>
      <c r="AA46">
        <v>101922</v>
      </c>
      <c r="AB46">
        <v>9469</v>
      </c>
      <c r="AD46">
        <v>0</v>
      </c>
      <c r="AE46">
        <v>0</v>
      </c>
      <c r="AF46">
        <v>0</v>
      </c>
      <c r="AG46">
        <v>0</v>
      </c>
      <c r="AH46">
        <v>0</v>
      </c>
      <c r="AI46">
        <v>0</v>
      </c>
    </row>
    <row r="47" spans="1:35" x14ac:dyDescent="0.45">
      <c r="A47" t="s">
        <v>199</v>
      </c>
      <c r="B47" t="s">
        <v>199</v>
      </c>
      <c r="C47" t="s">
        <v>418</v>
      </c>
      <c r="D47" t="s">
        <v>417</v>
      </c>
      <c r="E47" t="s">
        <v>416</v>
      </c>
      <c r="F47" t="s">
        <v>122</v>
      </c>
      <c r="G47" t="s">
        <v>121</v>
      </c>
      <c r="H47">
        <v>9.5</v>
      </c>
      <c r="L47" t="s">
        <v>415</v>
      </c>
      <c r="M47" t="s">
        <v>194</v>
      </c>
      <c r="O47">
        <v>6725</v>
      </c>
      <c r="P47">
        <v>37.483297</v>
      </c>
      <c r="Q47">
        <v>127.02213999999999</v>
      </c>
      <c r="R47" t="s">
        <v>414</v>
      </c>
      <c r="S47" t="s">
        <v>413</v>
      </c>
      <c r="T47" t="s">
        <v>412</v>
      </c>
      <c r="U47">
        <v>12266</v>
      </c>
      <c r="V47">
        <v>0</v>
      </c>
      <c r="W47">
        <v>5239</v>
      </c>
      <c r="Y47">
        <v>118401</v>
      </c>
      <c r="Z47">
        <v>11000</v>
      </c>
      <c r="AD47">
        <v>0</v>
      </c>
      <c r="AE47">
        <v>0</v>
      </c>
      <c r="AF47">
        <v>0</v>
      </c>
      <c r="AG47">
        <v>0</v>
      </c>
      <c r="AH47">
        <v>1</v>
      </c>
      <c r="AI47">
        <v>0</v>
      </c>
    </row>
    <row r="48" spans="1:35" x14ac:dyDescent="0.45">
      <c r="A48" t="s">
        <v>199</v>
      </c>
      <c r="B48" t="s">
        <v>199</v>
      </c>
      <c r="C48" t="s">
        <v>411</v>
      </c>
      <c r="D48" t="s">
        <v>410</v>
      </c>
      <c r="E48" t="s">
        <v>196</v>
      </c>
      <c r="F48" t="s">
        <v>122</v>
      </c>
      <c r="G48" t="s">
        <v>121</v>
      </c>
      <c r="L48" t="s">
        <v>409</v>
      </c>
      <c r="M48" t="s">
        <v>257</v>
      </c>
      <c r="O48" t="s">
        <v>255</v>
      </c>
      <c r="P48">
        <v>37.411890999999997</v>
      </c>
      <c r="Q48">
        <v>127.127116</v>
      </c>
      <c r="R48" t="s">
        <v>408</v>
      </c>
      <c r="S48" t="s">
        <v>192</v>
      </c>
      <c r="T48" t="s">
        <v>407</v>
      </c>
      <c r="U48">
        <v>5511</v>
      </c>
      <c r="V48">
        <v>0</v>
      </c>
      <c r="W48">
        <v>4063</v>
      </c>
      <c r="AD48">
        <v>0</v>
      </c>
      <c r="AE48">
        <v>0</v>
      </c>
      <c r="AF48">
        <v>0</v>
      </c>
      <c r="AG48">
        <v>0</v>
      </c>
      <c r="AH48">
        <v>1</v>
      </c>
      <c r="AI48">
        <v>0</v>
      </c>
    </row>
    <row r="49" spans="1:35" x14ac:dyDescent="0.45">
      <c r="A49" t="s">
        <v>199</v>
      </c>
      <c r="B49" t="s">
        <v>199</v>
      </c>
      <c r="C49" t="s">
        <v>406</v>
      </c>
      <c r="D49" t="s">
        <v>405</v>
      </c>
      <c r="E49" t="s">
        <v>286</v>
      </c>
      <c r="F49" t="s">
        <v>122</v>
      </c>
      <c r="G49" t="s">
        <v>121</v>
      </c>
      <c r="L49" t="s">
        <v>404</v>
      </c>
      <c r="M49" t="s">
        <v>194</v>
      </c>
      <c r="O49">
        <v>10366</v>
      </c>
      <c r="P49">
        <v>37.334930999999997</v>
      </c>
      <c r="Q49">
        <v>127.110517</v>
      </c>
      <c r="R49" t="s">
        <v>403</v>
      </c>
      <c r="S49" t="s">
        <v>283</v>
      </c>
      <c r="T49" t="s">
        <v>402</v>
      </c>
      <c r="U49">
        <v>13368</v>
      </c>
      <c r="V49">
        <v>0</v>
      </c>
      <c r="W49">
        <v>6265</v>
      </c>
      <c r="Y49">
        <v>124537</v>
      </c>
      <c r="Z49">
        <v>11570</v>
      </c>
      <c r="AD49">
        <v>0</v>
      </c>
      <c r="AE49">
        <v>0</v>
      </c>
      <c r="AF49">
        <v>0</v>
      </c>
      <c r="AG49">
        <v>0</v>
      </c>
      <c r="AH49">
        <v>0</v>
      </c>
      <c r="AI49">
        <v>0</v>
      </c>
    </row>
    <row r="50" spans="1:35" x14ac:dyDescent="0.45">
      <c r="A50" t="s">
        <v>199</v>
      </c>
      <c r="B50" t="s">
        <v>199</v>
      </c>
      <c r="C50" t="s">
        <v>194</v>
      </c>
      <c r="D50" t="s">
        <v>401</v>
      </c>
      <c r="E50" t="s">
        <v>175</v>
      </c>
      <c r="F50" t="s">
        <v>122</v>
      </c>
      <c r="G50" t="s">
        <v>121</v>
      </c>
      <c r="H50">
        <v>12</v>
      </c>
      <c r="J50">
        <v>2007</v>
      </c>
      <c r="L50" t="s">
        <v>400</v>
      </c>
      <c r="M50" t="s">
        <v>194</v>
      </c>
      <c r="O50">
        <v>3922</v>
      </c>
      <c r="P50">
        <v>37.581840999999997</v>
      </c>
      <c r="Q50">
        <v>126.88478499999999</v>
      </c>
      <c r="R50" t="s">
        <v>399</v>
      </c>
      <c r="S50" t="s">
        <v>174</v>
      </c>
      <c r="T50" t="s">
        <v>398</v>
      </c>
      <c r="U50">
        <v>8123</v>
      </c>
      <c r="V50">
        <v>0</v>
      </c>
      <c r="W50">
        <v>419</v>
      </c>
      <c r="X50" t="s">
        <v>397</v>
      </c>
      <c r="Y50">
        <v>56800</v>
      </c>
      <c r="Z50">
        <v>5277</v>
      </c>
      <c r="AA50">
        <v>131996</v>
      </c>
      <c r="AB50">
        <v>12263</v>
      </c>
      <c r="AC50" t="s">
        <v>396</v>
      </c>
      <c r="AD50">
        <v>0</v>
      </c>
      <c r="AE50">
        <v>0</v>
      </c>
      <c r="AF50">
        <v>0</v>
      </c>
      <c r="AG50">
        <v>2</v>
      </c>
      <c r="AH50">
        <v>4</v>
      </c>
      <c r="AI50">
        <v>0</v>
      </c>
    </row>
    <row r="51" spans="1:35" x14ac:dyDescent="0.45">
      <c r="A51" t="s">
        <v>199</v>
      </c>
      <c r="B51" t="s">
        <v>199</v>
      </c>
      <c r="C51" t="s">
        <v>194</v>
      </c>
      <c r="D51" t="s">
        <v>395</v>
      </c>
      <c r="E51" t="s">
        <v>218</v>
      </c>
      <c r="F51" t="s">
        <v>122</v>
      </c>
      <c r="G51" t="s">
        <v>121</v>
      </c>
      <c r="L51" t="s">
        <v>394</v>
      </c>
      <c r="M51" t="s">
        <v>194</v>
      </c>
      <c r="O51">
        <v>4156</v>
      </c>
      <c r="P51">
        <v>37.543875</v>
      </c>
      <c r="Q51">
        <v>126.94768000000001</v>
      </c>
      <c r="R51" t="s">
        <v>393</v>
      </c>
      <c r="S51" t="s">
        <v>215</v>
      </c>
      <c r="T51" t="s">
        <v>392</v>
      </c>
      <c r="U51">
        <v>10933</v>
      </c>
      <c r="V51">
        <v>0</v>
      </c>
      <c r="W51">
        <v>11770</v>
      </c>
      <c r="X51" t="s">
        <v>391</v>
      </c>
      <c r="AD51">
        <v>0</v>
      </c>
      <c r="AE51">
        <v>0</v>
      </c>
      <c r="AF51">
        <v>0</v>
      </c>
      <c r="AG51">
        <v>0</v>
      </c>
      <c r="AH51">
        <v>1</v>
      </c>
      <c r="AI51">
        <v>0</v>
      </c>
    </row>
    <row r="52" spans="1:35" x14ac:dyDescent="0.45">
      <c r="A52" t="s">
        <v>199</v>
      </c>
      <c r="B52" t="s">
        <v>199</v>
      </c>
      <c r="C52" t="s">
        <v>194</v>
      </c>
      <c r="D52" t="s">
        <v>390</v>
      </c>
      <c r="E52" t="s">
        <v>132</v>
      </c>
      <c r="F52" t="s">
        <v>122</v>
      </c>
      <c r="G52" t="s">
        <v>121</v>
      </c>
      <c r="H52">
        <v>4.8</v>
      </c>
      <c r="I52">
        <v>1.5</v>
      </c>
      <c r="K52">
        <v>3</v>
      </c>
      <c r="L52" t="s">
        <v>389</v>
      </c>
      <c r="M52" t="s">
        <v>194</v>
      </c>
      <c r="O52" t="s">
        <v>388</v>
      </c>
      <c r="P52">
        <v>37.507399999999997</v>
      </c>
      <c r="Q52">
        <v>127.0342</v>
      </c>
      <c r="R52" t="s">
        <v>387</v>
      </c>
      <c r="S52" t="s">
        <v>131</v>
      </c>
      <c r="T52" t="s">
        <v>386</v>
      </c>
      <c r="U52">
        <v>10879</v>
      </c>
      <c r="V52">
        <v>0</v>
      </c>
      <c r="W52">
        <v>11753</v>
      </c>
      <c r="Y52">
        <v>35854</v>
      </c>
      <c r="Z52">
        <v>3331</v>
      </c>
      <c r="AC52" t="s">
        <v>385</v>
      </c>
      <c r="AD52">
        <v>0</v>
      </c>
      <c r="AE52">
        <v>0</v>
      </c>
      <c r="AF52">
        <v>0</v>
      </c>
      <c r="AG52">
        <v>0</v>
      </c>
      <c r="AH52">
        <v>5</v>
      </c>
      <c r="AI52">
        <v>1</v>
      </c>
    </row>
    <row r="53" spans="1:35" x14ac:dyDescent="0.45">
      <c r="A53" t="s">
        <v>199</v>
      </c>
      <c r="B53" t="s">
        <v>199</v>
      </c>
      <c r="C53" t="s">
        <v>194</v>
      </c>
      <c r="D53" t="s">
        <v>384</v>
      </c>
      <c r="E53" t="s">
        <v>383</v>
      </c>
      <c r="F53" t="s">
        <v>122</v>
      </c>
      <c r="G53" t="s">
        <v>121</v>
      </c>
      <c r="L53" t="s">
        <v>382</v>
      </c>
      <c r="M53" t="s">
        <v>194</v>
      </c>
      <c r="O53">
        <v>8375</v>
      </c>
      <c r="P53">
        <v>37.485908999999999</v>
      </c>
      <c r="Q53">
        <v>126.891553</v>
      </c>
      <c r="R53" t="s">
        <v>381</v>
      </c>
      <c r="S53" t="s">
        <v>380</v>
      </c>
      <c r="T53" t="s">
        <v>379</v>
      </c>
      <c r="U53">
        <v>14314</v>
      </c>
      <c r="V53">
        <v>11022</v>
      </c>
      <c r="W53">
        <v>13033</v>
      </c>
      <c r="X53" t="s">
        <v>378</v>
      </c>
      <c r="Y53">
        <v>249074</v>
      </c>
      <c r="Z53">
        <v>23140</v>
      </c>
      <c r="AD53">
        <v>0</v>
      </c>
      <c r="AE53">
        <v>0</v>
      </c>
      <c r="AF53">
        <v>0</v>
      </c>
      <c r="AG53">
        <v>0</v>
      </c>
      <c r="AH53">
        <v>0</v>
      </c>
      <c r="AI53">
        <v>0</v>
      </c>
    </row>
    <row r="54" spans="1:35" x14ac:dyDescent="0.45">
      <c r="A54" t="s">
        <v>199</v>
      </c>
      <c r="B54" t="s">
        <v>199</v>
      </c>
      <c r="C54" t="s">
        <v>194</v>
      </c>
      <c r="D54" t="s">
        <v>377</v>
      </c>
      <c r="E54" t="s">
        <v>377</v>
      </c>
      <c r="F54" t="s">
        <v>122</v>
      </c>
      <c r="G54" t="s">
        <v>121</v>
      </c>
      <c r="L54" t="s">
        <v>376</v>
      </c>
      <c r="M54" t="s">
        <v>194</v>
      </c>
      <c r="O54">
        <v>37371</v>
      </c>
      <c r="P54">
        <v>37.482095999999999</v>
      </c>
      <c r="Q54">
        <v>126.879733</v>
      </c>
      <c r="R54" t="s">
        <v>375</v>
      </c>
      <c r="S54" t="s">
        <v>374</v>
      </c>
      <c r="T54" t="s">
        <v>373</v>
      </c>
      <c r="U54">
        <v>6347</v>
      </c>
      <c r="V54">
        <v>8281</v>
      </c>
      <c r="W54">
        <v>5112</v>
      </c>
      <c r="AD54">
        <v>0</v>
      </c>
      <c r="AE54">
        <v>0</v>
      </c>
      <c r="AF54">
        <v>0</v>
      </c>
      <c r="AG54">
        <v>1</v>
      </c>
      <c r="AH54">
        <v>0</v>
      </c>
      <c r="AI54">
        <v>0</v>
      </c>
    </row>
    <row r="55" spans="1:35" x14ac:dyDescent="0.45">
      <c r="A55" t="s">
        <v>199</v>
      </c>
      <c r="B55" t="s">
        <v>199</v>
      </c>
      <c r="C55" t="s">
        <v>194</v>
      </c>
      <c r="D55" t="s">
        <v>372</v>
      </c>
      <c r="E55" t="s">
        <v>184</v>
      </c>
      <c r="F55" t="s">
        <v>122</v>
      </c>
      <c r="G55" t="s">
        <v>121</v>
      </c>
      <c r="H55">
        <v>40</v>
      </c>
      <c r="I55">
        <v>1.3</v>
      </c>
      <c r="L55" t="s">
        <v>371</v>
      </c>
      <c r="M55" t="s">
        <v>194</v>
      </c>
      <c r="O55" t="s">
        <v>370</v>
      </c>
      <c r="P55">
        <v>37.458216</v>
      </c>
      <c r="Q55">
        <v>127.03810900000001</v>
      </c>
      <c r="R55" t="s">
        <v>369</v>
      </c>
      <c r="S55" t="s">
        <v>183</v>
      </c>
      <c r="T55" t="s">
        <v>368</v>
      </c>
      <c r="U55">
        <v>10607</v>
      </c>
      <c r="V55">
        <v>0</v>
      </c>
      <c r="W55">
        <v>11723</v>
      </c>
      <c r="Y55">
        <v>330610</v>
      </c>
      <c r="Z55">
        <v>30715</v>
      </c>
      <c r="AC55" t="s">
        <v>367</v>
      </c>
      <c r="AD55">
        <v>0</v>
      </c>
      <c r="AE55">
        <v>0</v>
      </c>
      <c r="AF55">
        <v>0</v>
      </c>
      <c r="AG55">
        <v>0</v>
      </c>
      <c r="AH55">
        <v>0</v>
      </c>
      <c r="AI55">
        <v>0</v>
      </c>
    </row>
    <row r="56" spans="1:35" x14ac:dyDescent="0.45">
      <c r="A56" t="s">
        <v>199</v>
      </c>
      <c r="B56" t="s">
        <v>199</v>
      </c>
      <c r="C56" t="s">
        <v>194</v>
      </c>
      <c r="D56" t="s">
        <v>366</v>
      </c>
      <c r="E56" t="s">
        <v>188</v>
      </c>
      <c r="F56" t="s">
        <v>170</v>
      </c>
      <c r="G56" t="s">
        <v>121</v>
      </c>
      <c r="H56">
        <v>26</v>
      </c>
      <c r="L56" t="s">
        <v>365</v>
      </c>
      <c r="M56" t="s">
        <v>194</v>
      </c>
      <c r="O56">
        <v>7440</v>
      </c>
      <c r="P56">
        <v>37.529868999999998</v>
      </c>
      <c r="Q56">
        <v>126.89382000000001</v>
      </c>
      <c r="R56" t="s">
        <v>364</v>
      </c>
      <c r="S56" t="s">
        <v>187</v>
      </c>
      <c r="T56" t="s">
        <v>363</v>
      </c>
      <c r="U56">
        <v>14213</v>
      </c>
      <c r="V56">
        <v>0</v>
      </c>
      <c r="W56">
        <v>12980</v>
      </c>
      <c r="Y56">
        <v>269095</v>
      </c>
      <c r="Z56">
        <v>25000</v>
      </c>
      <c r="AD56">
        <v>0</v>
      </c>
      <c r="AE56">
        <v>0</v>
      </c>
      <c r="AF56">
        <v>0</v>
      </c>
      <c r="AG56">
        <v>0</v>
      </c>
      <c r="AH56">
        <v>0</v>
      </c>
      <c r="AI56">
        <v>0</v>
      </c>
    </row>
    <row r="57" spans="1:35" x14ac:dyDescent="0.45">
      <c r="A57" t="s">
        <v>199</v>
      </c>
      <c r="B57" t="s">
        <v>199</v>
      </c>
      <c r="C57" t="s">
        <v>194</v>
      </c>
      <c r="D57" t="s">
        <v>362</v>
      </c>
      <c r="E57" t="s">
        <v>190</v>
      </c>
      <c r="F57" t="s">
        <v>122</v>
      </c>
      <c r="G57" t="s">
        <v>121</v>
      </c>
      <c r="L57" t="s">
        <v>361</v>
      </c>
      <c r="M57" t="s">
        <v>194</v>
      </c>
      <c r="O57">
        <v>8375</v>
      </c>
      <c r="P57">
        <v>37.485889</v>
      </c>
      <c r="Q57">
        <v>126.891638</v>
      </c>
      <c r="R57" t="s">
        <v>360</v>
      </c>
      <c r="S57" t="s">
        <v>189</v>
      </c>
      <c r="T57" t="s">
        <v>359</v>
      </c>
      <c r="U57">
        <v>11022</v>
      </c>
      <c r="V57">
        <v>0</v>
      </c>
      <c r="W57">
        <v>91</v>
      </c>
      <c r="AA57">
        <v>249128</v>
      </c>
      <c r="AB57">
        <v>23145</v>
      </c>
      <c r="AD57">
        <v>0</v>
      </c>
      <c r="AE57">
        <v>0</v>
      </c>
      <c r="AF57">
        <v>1</v>
      </c>
      <c r="AG57">
        <v>0</v>
      </c>
      <c r="AH57">
        <v>0</v>
      </c>
      <c r="AI57">
        <v>0</v>
      </c>
    </row>
    <row r="58" spans="1:35" x14ac:dyDescent="0.45">
      <c r="A58" t="s">
        <v>199</v>
      </c>
      <c r="B58" t="s">
        <v>199</v>
      </c>
      <c r="C58" t="s">
        <v>194</v>
      </c>
      <c r="D58" t="s">
        <v>358</v>
      </c>
      <c r="E58" t="s">
        <v>196</v>
      </c>
      <c r="F58" t="s">
        <v>170</v>
      </c>
      <c r="G58" t="s">
        <v>121</v>
      </c>
      <c r="H58">
        <v>19.8</v>
      </c>
      <c r="L58" t="s">
        <v>357</v>
      </c>
      <c r="M58" t="s">
        <v>194</v>
      </c>
      <c r="O58">
        <v>8274</v>
      </c>
      <c r="P58">
        <v>37.496862</v>
      </c>
      <c r="Q58">
        <v>126.855198</v>
      </c>
      <c r="R58" t="s">
        <v>356</v>
      </c>
      <c r="S58" t="s">
        <v>192</v>
      </c>
      <c r="T58" t="s">
        <v>355</v>
      </c>
      <c r="U58">
        <v>14353</v>
      </c>
      <c r="V58">
        <v>0</v>
      </c>
      <c r="W58">
        <v>4063</v>
      </c>
      <c r="Y58">
        <v>206934</v>
      </c>
      <c r="Z58">
        <v>19225</v>
      </c>
      <c r="AD58">
        <v>0</v>
      </c>
      <c r="AE58">
        <v>0</v>
      </c>
      <c r="AF58">
        <v>0</v>
      </c>
      <c r="AG58">
        <v>0</v>
      </c>
      <c r="AH58">
        <v>0</v>
      </c>
      <c r="AI58">
        <v>0</v>
      </c>
    </row>
    <row r="59" spans="1:35" x14ac:dyDescent="0.45">
      <c r="A59" t="s">
        <v>199</v>
      </c>
      <c r="B59" t="s">
        <v>199</v>
      </c>
      <c r="C59" t="s">
        <v>194</v>
      </c>
      <c r="D59" t="s">
        <v>354</v>
      </c>
      <c r="E59" t="s">
        <v>353</v>
      </c>
      <c r="F59" t="s">
        <v>170</v>
      </c>
      <c r="G59" t="s">
        <v>121</v>
      </c>
      <c r="L59" t="s">
        <v>352</v>
      </c>
      <c r="M59" t="s">
        <v>194</v>
      </c>
      <c r="O59">
        <v>8831</v>
      </c>
      <c r="P59">
        <v>37.471719</v>
      </c>
      <c r="Q59">
        <v>126.886188</v>
      </c>
      <c r="R59" t="s">
        <v>351</v>
      </c>
      <c r="S59" t="s">
        <v>350</v>
      </c>
      <c r="T59" t="s">
        <v>349</v>
      </c>
      <c r="U59">
        <v>14242</v>
      </c>
      <c r="V59">
        <v>0</v>
      </c>
      <c r="W59">
        <v>12991</v>
      </c>
      <c r="Y59">
        <v>443619</v>
      </c>
      <c r="Z59">
        <v>41214</v>
      </c>
      <c r="AD59">
        <v>0</v>
      </c>
      <c r="AE59">
        <v>0</v>
      </c>
      <c r="AF59">
        <v>0</v>
      </c>
      <c r="AG59">
        <v>0</v>
      </c>
      <c r="AH59">
        <v>0</v>
      </c>
      <c r="AI59">
        <v>0</v>
      </c>
    </row>
    <row r="60" spans="1:35" x14ac:dyDescent="0.45">
      <c r="A60" t="s">
        <v>199</v>
      </c>
      <c r="B60" t="s">
        <v>199</v>
      </c>
      <c r="C60" t="s">
        <v>194</v>
      </c>
      <c r="D60" t="s">
        <v>348</v>
      </c>
      <c r="E60" t="s">
        <v>196</v>
      </c>
      <c r="F60" t="s">
        <v>122</v>
      </c>
      <c r="G60" t="s">
        <v>121</v>
      </c>
      <c r="L60" t="s">
        <v>347</v>
      </c>
      <c r="M60" t="s">
        <v>194</v>
      </c>
      <c r="O60">
        <v>0</v>
      </c>
      <c r="P60">
        <v>37.504601999999998</v>
      </c>
      <c r="Q60">
        <v>127.04130600000001</v>
      </c>
      <c r="R60" t="s">
        <v>346</v>
      </c>
      <c r="S60" t="s">
        <v>192</v>
      </c>
      <c r="T60" t="s">
        <v>345</v>
      </c>
      <c r="U60">
        <v>6139</v>
      </c>
      <c r="V60">
        <v>0</v>
      </c>
      <c r="W60">
        <v>4063</v>
      </c>
      <c r="AD60">
        <v>0</v>
      </c>
      <c r="AE60">
        <v>0</v>
      </c>
      <c r="AF60">
        <v>0</v>
      </c>
      <c r="AG60">
        <v>0</v>
      </c>
      <c r="AH60">
        <v>1</v>
      </c>
      <c r="AI60">
        <v>0</v>
      </c>
    </row>
    <row r="61" spans="1:35" x14ac:dyDescent="0.45">
      <c r="A61" t="s">
        <v>199</v>
      </c>
      <c r="B61" t="s">
        <v>199</v>
      </c>
      <c r="C61" t="s">
        <v>194</v>
      </c>
      <c r="D61" t="s">
        <v>344</v>
      </c>
      <c r="E61" t="s">
        <v>196</v>
      </c>
      <c r="F61" t="s">
        <v>170</v>
      </c>
      <c r="G61" t="s">
        <v>121</v>
      </c>
      <c r="H61">
        <v>26</v>
      </c>
      <c r="L61" t="s">
        <v>343</v>
      </c>
      <c r="M61" t="s">
        <v>194</v>
      </c>
      <c r="O61">
        <v>8504</v>
      </c>
      <c r="P61">
        <v>37.470446000000003</v>
      </c>
      <c r="Q61">
        <v>126.882786</v>
      </c>
      <c r="R61" t="s">
        <v>342</v>
      </c>
      <c r="S61" t="s">
        <v>192</v>
      </c>
      <c r="T61" t="s">
        <v>341</v>
      </c>
      <c r="U61">
        <v>12262</v>
      </c>
      <c r="V61">
        <v>0</v>
      </c>
      <c r="W61">
        <v>4063</v>
      </c>
      <c r="AD61">
        <v>0</v>
      </c>
      <c r="AE61">
        <v>0</v>
      </c>
      <c r="AF61">
        <v>0</v>
      </c>
      <c r="AG61">
        <v>1</v>
      </c>
      <c r="AH61">
        <v>0</v>
      </c>
      <c r="AI61">
        <v>0</v>
      </c>
    </row>
    <row r="62" spans="1:35" x14ac:dyDescent="0.45">
      <c r="A62" t="s">
        <v>199</v>
      </c>
      <c r="B62" t="s">
        <v>199</v>
      </c>
      <c r="C62" t="s">
        <v>194</v>
      </c>
      <c r="D62" t="s">
        <v>340</v>
      </c>
      <c r="E62" t="s">
        <v>196</v>
      </c>
      <c r="F62" t="s">
        <v>122</v>
      </c>
      <c r="G62" t="s">
        <v>121</v>
      </c>
      <c r="K62">
        <v>3</v>
      </c>
      <c r="L62" t="s">
        <v>339</v>
      </c>
      <c r="M62" t="s">
        <v>194</v>
      </c>
      <c r="O62" t="s">
        <v>338</v>
      </c>
      <c r="P62">
        <v>37.528660000000002</v>
      </c>
      <c r="Q62">
        <v>126.871984</v>
      </c>
      <c r="R62" t="s">
        <v>337</v>
      </c>
      <c r="S62" t="s">
        <v>192</v>
      </c>
      <c r="T62" t="s">
        <v>336</v>
      </c>
      <c r="U62">
        <v>5485</v>
      </c>
      <c r="V62">
        <v>0</v>
      </c>
      <c r="W62">
        <v>4063</v>
      </c>
      <c r="AD62">
        <v>0</v>
      </c>
      <c r="AE62">
        <v>0</v>
      </c>
      <c r="AF62">
        <v>0</v>
      </c>
      <c r="AG62">
        <v>0</v>
      </c>
      <c r="AH62">
        <v>2</v>
      </c>
      <c r="AI62">
        <v>1</v>
      </c>
    </row>
    <row r="63" spans="1:35" x14ac:dyDescent="0.45">
      <c r="A63" t="s">
        <v>199</v>
      </c>
      <c r="B63" t="s">
        <v>199</v>
      </c>
      <c r="C63" t="s">
        <v>194</v>
      </c>
      <c r="D63" t="s">
        <v>335</v>
      </c>
      <c r="E63" t="s">
        <v>196</v>
      </c>
      <c r="F63" t="s">
        <v>122</v>
      </c>
      <c r="G63" t="s">
        <v>121</v>
      </c>
      <c r="K63">
        <v>3</v>
      </c>
      <c r="L63" t="s">
        <v>334</v>
      </c>
      <c r="M63" t="s">
        <v>194</v>
      </c>
      <c r="O63">
        <v>7991</v>
      </c>
      <c r="P63">
        <v>37.530481999999999</v>
      </c>
      <c r="Q63">
        <v>126.876265</v>
      </c>
      <c r="R63" t="s">
        <v>333</v>
      </c>
      <c r="S63" t="s">
        <v>192</v>
      </c>
      <c r="T63" t="s">
        <v>332</v>
      </c>
      <c r="U63">
        <v>6370</v>
      </c>
      <c r="V63">
        <v>0</v>
      </c>
      <c r="W63">
        <v>4063</v>
      </c>
      <c r="AD63">
        <v>0</v>
      </c>
      <c r="AE63">
        <v>0</v>
      </c>
      <c r="AF63">
        <v>0</v>
      </c>
      <c r="AG63">
        <v>1</v>
      </c>
      <c r="AH63">
        <v>0</v>
      </c>
      <c r="AI63">
        <v>0</v>
      </c>
    </row>
    <row r="64" spans="1:35" x14ac:dyDescent="0.45">
      <c r="A64" t="s">
        <v>199</v>
      </c>
      <c r="B64" t="s">
        <v>199</v>
      </c>
      <c r="C64" t="s">
        <v>194</v>
      </c>
      <c r="D64" t="s">
        <v>331</v>
      </c>
      <c r="E64" t="s">
        <v>196</v>
      </c>
      <c r="F64" t="s">
        <v>122</v>
      </c>
      <c r="G64" t="s">
        <v>121</v>
      </c>
      <c r="K64">
        <v>2</v>
      </c>
      <c r="L64" t="s">
        <v>330</v>
      </c>
      <c r="M64" t="s">
        <v>194</v>
      </c>
      <c r="O64">
        <v>0</v>
      </c>
      <c r="P64">
        <v>37.521504</v>
      </c>
      <c r="Q64">
        <v>126.919127</v>
      </c>
      <c r="R64" t="s">
        <v>329</v>
      </c>
      <c r="S64" t="s">
        <v>192</v>
      </c>
      <c r="T64" t="s">
        <v>328</v>
      </c>
      <c r="U64">
        <v>6138</v>
      </c>
      <c r="V64">
        <v>0</v>
      </c>
      <c r="W64">
        <v>4063</v>
      </c>
      <c r="AD64">
        <v>0</v>
      </c>
      <c r="AE64">
        <v>0</v>
      </c>
      <c r="AF64">
        <v>0</v>
      </c>
      <c r="AG64">
        <v>0</v>
      </c>
      <c r="AH64">
        <v>1</v>
      </c>
      <c r="AI64">
        <v>0</v>
      </c>
    </row>
    <row r="65" spans="1:35" x14ac:dyDescent="0.45">
      <c r="A65" t="s">
        <v>199</v>
      </c>
      <c r="B65" t="s">
        <v>199</v>
      </c>
      <c r="C65" t="s">
        <v>194</v>
      </c>
      <c r="D65" t="s">
        <v>327</v>
      </c>
      <c r="E65" t="s">
        <v>327</v>
      </c>
      <c r="F65" t="s">
        <v>122</v>
      </c>
      <c r="G65" t="s">
        <v>121</v>
      </c>
      <c r="L65" t="s">
        <v>296</v>
      </c>
      <c r="M65" t="s">
        <v>194</v>
      </c>
      <c r="O65" t="s">
        <v>265</v>
      </c>
      <c r="P65">
        <v>37.489516999999999</v>
      </c>
      <c r="Q65">
        <v>127.024911</v>
      </c>
      <c r="R65" t="s">
        <v>326</v>
      </c>
      <c r="S65" t="s">
        <v>325</v>
      </c>
      <c r="T65" t="s">
        <v>324</v>
      </c>
      <c r="U65">
        <v>5747</v>
      </c>
      <c r="V65">
        <v>5803</v>
      </c>
      <c r="W65">
        <v>4404</v>
      </c>
      <c r="AD65">
        <v>0</v>
      </c>
      <c r="AE65">
        <v>0</v>
      </c>
      <c r="AF65">
        <v>0</v>
      </c>
      <c r="AG65">
        <v>0</v>
      </c>
      <c r="AH65">
        <v>0</v>
      </c>
      <c r="AI65">
        <v>0</v>
      </c>
    </row>
    <row r="66" spans="1:35" x14ac:dyDescent="0.45">
      <c r="A66" t="s">
        <v>199</v>
      </c>
      <c r="B66" t="s">
        <v>199</v>
      </c>
      <c r="C66" t="s">
        <v>194</v>
      </c>
      <c r="D66" t="s">
        <v>323</v>
      </c>
      <c r="E66" t="s">
        <v>212</v>
      </c>
      <c r="F66" t="s">
        <v>122</v>
      </c>
      <c r="G66" t="s">
        <v>121</v>
      </c>
      <c r="H66">
        <v>20</v>
      </c>
      <c r="L66" t="s">
        <v>322</v>
      </c>
      <c r="M66" t="s">
        <v>194</v>
      </c>
      <c r="O66">
        <v>37371</v>
      </c>
      <c r="P66">
        <v>37.482095999999999</v>
      </c>
      <c r="Q66">
        <v>126.879733</v>
      </c>
      <c r="R66" t="s">
        <v>321</v>
      </c>
      <c r="S66" t="s">
        <v>209</v>
      </c>
      <c r="T66" t="s">
        <v>320</v>
      </c>
      <c r="U66">
        <v>8281</v>
      </c>
      <c r="V66">
        <v>0</v>
      </c>
      <c r="W66">
        <v>9903</v>
      </c>
      <c r="Y66">
        <v>137066</v>
      </c>
      <c r="Z66">
        <v>12734</v>
      </c>
      <c r="AA66">
        <v>807134</v>
      </c>
      <c r="AB66">
        <v>74986</v>
      </c>
      <c r="AD66">
        <v>0</v>
      </c>
      <c r="AE66">
        <v>0</v>
      </c>
      <c r="AF66">
        <v>2</v>
      </c>
      <c r="AG66">
        <v>0</v>
      </c>
      <c r="AH66">
        <v>2</v>
      </c>
      <c r="AI66">
        <v>0</v>
      </c>
    </row>
    <row r="67" spans="1:35" x14ac:dyDescent="0.45">
      <c r="A67" t="s">
        <v>199</v>
      </c>
      <c r="B67" t="s">
        <v>199</v>
      </c>
      <c r="C67" t="s">
        <v>194</v>
      </c>
      <c r="D67" t="s">
        <v>319</v>
      </c>
      <c r="E67" t="s">
        <v>212</v>
      </c>
      <c r="F67" t="s">
        <v>122</v>
      </c>
      <c r="G67" t="s">
        <v>121</v>
      </c>
      <c r="H67">
        <v>18</v>
      </c>
      <c r="L67" t="s">
        <v>318</v>
      </c>
      <c r="M67" t="s">
        <v>194</v>
      </c>
      <c r="O67">
        <v>3922</v>
      </c>
      <c r="P67">
        <v>37.581057000000001</v>
      </c>
      <c r="Q67">
        <v>126.88684499999999</v>
      </c>
      <c r="R67" t="s">
        <v>317</v>
      </c>
      <c r="S67" t="s">
        <v>209</v>
      </c>
      <c r="T67" t="s">
        <v>316</v>
      </c>
      <c r="U67">
        <v>11018</v>
      </c>
      <c r="V67">
        <v>0</v>
      </c>
      <c r="W67">
        <v>9903</v>
      </c>
      <c r="Y67">
        <v>147313</v>
      </c>
      <c r="Z67">
        <v>13686</v>
      </c>
      <c r="AA67">
        <v>472003</v>
      </c>
      <c r="AB67">
        <v>43851</v>
      </c>
      <c r="AD67">
        <v>0</v>
      </c>
      <c r="AE67">
        <v>0</v>
      </c>
      <c r="AF67">
        <v>1</v>
      </c>
      <c r="AG67">
        <v>0</v>
      </c>
      <c r="AH67">
        <v>4</v>
      </c>
      <c r="AI67">
        <v>0</v>
      </c>
    </row>
    <row r="68" spans="1:35" x14ac:dyDescent="0.45">
      <c r="A68" t="s">
        <v>199</v>
      </c>
      <c r="B68" t="s">
        <v>199</v>
      </c>
      <c r="C68" t="s">
        <v>194</v>
      </c>
      <c r="D68" t="s">
        <v>315</v>
      </c>
      <c r="E68" t="s">
        <v>224</v>
      </c>
      <c r="F68" t="s">
        <v>122</v>
      </c>
      <c r="G68" t="s">
        <v>121</v>
      </c>
      <c r="J68">
        <v>2007</v>
      </c>
      <c r="L68" t="s">
        <v>314</v>
      </c>
      <c r="M68" t="s">
        <v>194</v>
      </c>
      <c r="O68">
        <v>8500</v>
      </c>
      <c r="P68">
        <v>37.483606999999999</v>
      </c>
      <c r="Q68">
        <v>126.876659</v>
      </c>
      <c r="R68" t="s">
        <v>313</v>
      </c>
      <c r="S68" t="s">
        <v>221</v>
      </c>
      <c r="T68" t="s">
        <v>312</v>
      </c>
      <c r="U68">
        <v>12184</v>
      </c>
      <c r="V68">
        <v>0</v>
      </c>
      <c r="W68">
        <v>12137</v>
      </c>
      <c r="AD68">
        <v>0</v>
      </c>
      <c r="AE68">
        <v>0</v>
      </c>
      <c r="AF68">
        <v>0</v>
      </c>
      <c r="AG68">
        <v>0</v>
      </c>
      <c r="AH68">
        <v>1</v>
      </c>
      <c r="AI68">
        <v>0</v>
      </c>
    </row>
    <row r="69" spans="1:35" x14ac:dyDescent="0.45">
      <c r="A69" t="s">
        <v>199</v>
      </c>
      <c r="B69" t="s">
        <v>199</v>
      </c>
      <c r="C69" t="s">
        <v>194</v>
      </c>
      <c r="D69" t="s">
        <v>311</v>
      </c>
      <c r="E69" t="s">
        <v>310</v>
      </c>
      <c r="F69" t="s">
        <v>122</v>
      </c>
      <c r="G69" t="s">
        <v>121</v>
      </c>
      <c r="K69">
        <v>3</v>
      </c>
      <c r="L69" t="s">
        <v>309</v>
      </c>
      <c r="M69" t="s">
        <v>194</v>
      </c>
      <c r="O69">
        <v>6259</v>
      </c>
      <c r="P69">
        <v>37.490124000000002</v>
      </c>
      <c r="Q69">
        <v>127.03502899999999</v>
      </c>
      <c r="R69" t="s">
        <v>308</v>
      </c>
      <c r="S69" t="s">
        <v>307</v>
      </c>
      <c r="T69" t="s">
        <v>306</v>
      </c>
      <c r="U69">
        <v>7002</v>
      </c>
      <c r="V69">
        <v>0</v>
      </c>
      <c r="W69">
        <v>6340</v>
      </c>
      <c r="AD69">
        <v>0</v>
      </c>
      <c r="AE69">
        <v>0</v>
      </c>
      <c r="AF69">
        <v>0</v>
      </c>
      <c r="AG69">
        <v>0</v>
      </c>
      <c r="AH69">
        <v>0</v>
      </c>
      <c r="AI69">
        <v>0</v>
      </c>
    </row>
    <row r="70" spans="1:35" x14ac:dyDescent="0.45">
      <c r="A70" t="s">
        <v>199</v>
      </c>
      <c r="B70" t="s">
        <v>199</v>
      </c>
      <c r="C70" t="s">
        <v>194</v>
      </c>
      <c r="D70" t="s">
        <v>305</v>
      </c>
      <c r="E70" t="s">
        <v>304</v>
      </c>
      <c r="F70" t="s">
        <v>122</v>
      </c>
      <c r="G70" t="s">
        <v>121</v>
      </c>
      <c r="K70">
        <v>3</v>
      </c>
      <c r="L70" t="s">
        <v>303</v>
      </c>
      <c r="M70" t="s">
        <v>194</v>
      </c>
      <c r="O70">
        <v>8512</v>
      </c>
      <c r="P70">
        <v>37.479489999999998</v>
      </c>
      <c r="Q70">
        <v>126.887531</v>
      </c>
      <c r="R70" t="s">
        <v>302</v>
      </c>
      <c r="S70" t="s">
        <v>301</v>
      </c>
      <c r="T70" t="s">
        <v>300</v>
      </c>
      <c r="U70">
        <v>14908</v>
      </c>
      <c r="V70">
        <v>0</v>
      </c>
      <c r="W70">
        <v>13259</v>
      </c>
      <c r="AC70" t="s">
        <v>299</v>
      </c>
      <c r="AD70">
        <v>0</v>
      </c>
      <c r="AE70">
        <v>0</v>
      </c>
      <c r="AF70">
        <v>0</v>
      </c>
      <c r="AG70">
        <v>0</v>
      </c>
      <c r="AH70">
        <v>1</v>
      </c>
      <c r="AI70">
        <v>0</v>
      </c>
    </row>
    <row r="71" spans="1:35" x14ac:dyDescent="0.45">
      <c r="A71" t="s">
        <v>199</v>
      </c>
      <c r="B71" t="s">
        <v>199</v>
      </c>
      <c r="C71" t="s">
        <v>194</v>
      </c>
      <c r="D71" t="s">
        <v>298</v>
      </c>
      <c r="E71" t="s">
        <v>297</v>
      </c>
      <c r="F71" t="s">
        <v>122</v>
      </c>
      <c r="G71" t="s">
        <v>121</v>
      </c>
      <c r="L71" t="s">
        <v>296</v>
      </c>
      <c r="M71" t="s">
        <v>194</v>
      </c>
      <c r="O71" t="s">
        <v>295</v>
      </c>
      <c r="P71">
        <v>37.493481000000003</v>
      </c>
      <c r="Q71">
        <v>127.009885</v>
      </c>
      <c r="R71" t="s">
        <v>294</v>
      </c>
      <c r="S71" t="s">
        <v>293</v>
      </c>
      <c r="T71" t="s">
        <v>292</v>
      </c>
      <c r="U71">
        <v>5679</v>
      </c>
      <c r="V71">
        <v>5803</v>
      </c>
      <c r="W71">
        <v>4231</v>
      </c>
      <c r="AD71">
        <v>0</v>
      </c>
      <c r="AE71">
        <v>0</v>
      </c>
      <c r="AF71">
        <v>0</v>
      </c>
      <c r="AG71">
        <v>0</v>
      </c>
      <c r="AH71">
        <v>0</v>
      </c>
      <c r="AI71">
        <v>0</v>
      </c>
    </row>
    <row r="72" spans="1:35" x14ac:dyDescent="0.45">
      <c r="A72" t="s">
        <v>199</v>
      </c>
      <c r="B72" t="s">
        <v>199</v>
      </c>
      <c r="C72" t="s">
        <v>194</v>
      </c>
      <c r="D72" t="s">
        <v>291</v>
      </c>
      <c r="E72" t="s">
        <v>286</v>
      </c>
      <c r="F72" t="s">
        <v>122</v>
      </c>
      <c r="G72" t="s">
        <v>121</v>
      </c>
      <c r="L72" t="s">
        <v>290</v>
      </c>
      <c r="M72" t="s">
        <v>194</v>
      </c>
      <c r="O72">
        <v>8513</v>
      </c>
      <c r="P72">
        <v>37.475805000000001</v>
      </c>
      <c r="Q72">
        <v>126.887812</v>
      </c>
      <c r="R72" t="s">
        <v>289</v>
      </c>
      <c r="S72" t="s">
        <v>283</v>
      </c>
      <c r="T72" t="s">
        <v>288</v>
      </c>
      <c r="U72">
        <v>13366</v>
      </c>
      <c r="V72">
        <v>0</v>
      </c>
      <c r="W72">
        <v>6265</v>
      </c>
      <c r="Y72">
        <v>745931</v>
      </c>
      <c r="Z72">
        <v>69300</v>
      </c>
      <c r="AD72">
        <v>0</v>
      </c>
      <c r="AE72">
        <v>0</v>
      </c>
      <c r="AF72">
        <v>0</v>
      </c>
      <c r="AG72">
        <v>1</v>
      </c>
      <c r="AH72">
        <v>0</v>
      </c>
      <c r="AI72">
        <v>0</v>
      </c>
    </row>
    <row r="73" spans="1:35" x14ac:dyDescent="0.45">
      <c r="A73" t="s">
        <v>199</v>
      </c>
      <c r="B73" t="s">
        <v>199</v>
      </c>
      <c r="C73" t="s">
        <v>194</v>
      </c>
      <c r="D73" t="s">
        <v>287</v>
      </c>
      <c r="E73" t="s">
        <v>286</v>
      </c>
      <c r="F73" t="s">
        <v>122</v>
      </c>
      <c r="G73" t="s">
        <v>180</v>
      </c>
      <c r="L73" t="s">
        <v>285</v>
      </c>
      <c r="M73" t="s">
        <v>194</v>
      </c>
      <c r="O73" t="s">
        <v>265</v>
      </c>
      <c r="P73">
        <v>37.493454999999997</v>
      </c>
      <c r="Q73">
        <v>127.009861</v>
      </c>
      <c r="R73" t="s">
        <v>284</v>
      </c>
      <c r="S73" t="s">
        <v>283</v>
      </c>
      <c r="T73" t="s">
        <v>282</v>
      </c>
      <c r="U73">
        <v>5803</v>
      </c>
      <c r="V73">
        <v>0</v>
      </c>
      <c r="W73">
        <v>6265</v>
      </c>
      <c r="Y73">
        <v>427322</v>
      </c>
      <c r="Z73">
        <v>39700</v>
      </c>
      <c r="AD73">
        <v>0</v>
      </c>
      <c r="AE73">
        <v>0</v>
      </c>
      <c r="AF73">
        <v>3</v>
      </c>
      <c r="AG73">
        <v>0</v>
      </c>
      <c r="AH73">
        <v>0</v>
      </c>
      <c r="AI73">
        <v>0</v>
      </c>
    </row>
    <row r="74" spans="1:35" x14ac:dyDescent="0.45">
      <c r="A74" t="s">
        <v>199</v>
      </c>
      <c r="B74" t="s">
        <v>199</v>
      </c>
      <c r="C74" t="s">
        <v>194</v>
      </c>
      <c r="D74" t="s">
        <v>281</v>
      </c>
      <c r="E74" t="s">
        <v>186</v>
      </c>
      <c r="F74" t="s">
        <v>170</v>
      </c>
      <c r="G74" t="s">
        <v>121</v>
      </c>
      <c r="H74">
        <v>30</v>
      </c>
      <c r="J74">
        <v>2025</v>
      </c>
      <c r="L74" t="s">
        <v>280</v>
      </c>
      <c r="M74" t="s">
        <v>194</v>
      </c>
      <c r="O74">
        <v>10</v>
      </c>
      <c r="R74" t="s">
        <v>279</v>
      </c>
      <c r="S74" t="s">
        <v>185</v>
      </c>
      <c r="T74" t="s">
        <v>278</v>
      </c>
      <c r="U74">
        <v>9917</v>
      </c>
      <c r="V74">
        <v>0</v>
      </c>
      <c r="W74">
        <v>5095</v>
      </c>
      <c r="Y74">
        <v>335884</v>
      </c>
      <c r="Z74">
        <v>31205</v>
      </c>
      <c r="AD74">
        <v>0</v>
      </c>
      <c r="AE74">
        <v>0</v>
      </c>
      <c r="AF74">
        <v>0</v>
      </c>
      <c r="AG74">
        <v>0</v>
      </c>
      <c r="AH74">
        <v>0</v>
      </c>
      <c r="AI74">
        <v>0</v>
      </c>
    </row>
    <row r="75" spans="1:35" x14ac:dyDescent="0.45">
      <c r="A75" t="s">
        <v>199</v>
      </c>
      <c r="B75" t="s">
        <v>199</v>
      </c>
      <c r="C75" t="s">
        <v>194</v>
      </c>
      <c r="D75" t="s">
        <v>277</v>
      </c>
      <c r="E75" t="s">
        <v>249</v>
      </c>
      <c r="F75" t="s">
        <v>122</v>
      </c>
      <c r="G75" t="s">
        <v>121</v>
      </c>
      <c r="J75">
        <v>2015</v>
      </c>
      <c r="K75">
        <v>3</v>
      </c>
      <c r="L75" t="s">
        <v>276</v>
      </c>
      <c r="M75" t="s">
        <v>194</v>
      </c>
      <c r="O75">
        <v>3922</v>
      </c>
      <c r="P75">
        <v>37.582909000000001</v>
      </c>
      <c r="Q75">
        <v>126.887184</v>
      </c>
      <c r="R75" t="s">
        <v>275</v>
      </c>
      <c r="S75" t="s">
        <v>246</v>
      </c>
      <c r="T75" t="s">
        <v>274</v>
      </c>
      <c r="U75">
        <v>14398</v>
      </c>
      <c r="V75">
        <v>0</v>
      </c>
      <c r="W75">
        <v>2050</v>
      </c>
      <c r="Y75">
        <v>898034</v>
      </c>
      <c r="Z75">
        <v>83431</v>
      </c>
      <c r="AA75">
        <v>76875</v>
      </c>
      <c r="AB75">
        <v>7142</v>
      </c>
      <c r="AD75">
        <v>0</v>
      </c>
      <c r="AE75">
        <v>0</v>
      </c>
      <c r="AF75">
        <v>1</v>
      </c>
      <c r="AG75">
        <v>0</v>
      </c>
      <c r="AH75">
        <v>0</v>
      </c>
      <c r="AI75">
        <v>0</v>
      </c>
    </row>
    <row r="76" spans="1:35" x14ac:dyDescent="0.45">
      <c r="A76" t="s">
        <v>199</v>
      </c>
      <c r="B76" t="s">
        <v>199</v>
      </c>
      <c r="C76" t="s">
        <v>194</v>
      </c>
      <c r="D76" t="s">
        <v>273</v>
      </c>
      <c r="E76" t="s">
        <v>130</v>
      </c>
      <c r="F76" t="s">
        <v>122</v>
      </c>
      <c r="G76" t="s">
        <v>121</v>
      </c>
      <c r="L76" t="s">
        <v>272</v>
      </c>
      <c r="M76" t="s">
        <v>194</v>
      </c>
      <c r="O76" t="s">
        <v>271</v>
      </c>
      <c r="P76">
        <v>37.568432999999999</v>
      </c>
      <c r="Q76">
        <v>126.978273</v>
      </c>
      <c r="R76" t="s">
        <v>270</v>
      </c>
      <c r="S76" t="s">
        <v>129</v>
      </c>
      <c r="T76" t="s">
        <v>269</v>
      </c>
      <c r="U76">
        <v>4024</v>
      </c>
      <c r="V76">
        <v>0</v>
      </c>
      <c r="W76">
        <v>481</v>
      </c>
      <c r="AD76">
        <v>0</v>
      </c>
      <c r="AE76">
        <v>0</v>
      </c>
      <c r="AF76">
        <v>0</v>
      </c>
      <c r="AG76">
        <v>0</v>
      </c>
      <c r="AH76">
        <v>0</v>
      </c>
      <c r="AI76">
        <v>0</v>
      </c>
    </row>
    <row r="77" spans="1:35" x14ac:dyDescent="0.45">
      <c r="A77" t="s">
        <v>199</v>
      </c>
      <c r="B77" t="s">
        <v>199</v>
      </c>
      <c r="C77" t="s">
        <v>194</v>
      </c>
      <c r="D77" t="s">
        <v>268</v>
      </c>
      <c r="E77" t="s">
        <v>182</v>
      </c>
      <c r="F77" t="s">
        <v>122</v>
      </c>
      <c r="G77" t="s">
        <v>121</v>
      </c>
      <c r="L77" t="s">
        <v>267</v>
      </c>
      <c r="M77" t="s">
        <v>194</v>
      </c>
      <c r="N77" t="s">
        <v>266</v>
      </c>
      <c r="O77" t="s">
        <v>265</v>
      </c>
      <c r="P77">
        <v>37.566535000000002</v>
      </c>
      <c r="Q77">
        <v>126.977969</v>
      </c>
      <c r="R77" t="s">
        <v>264</v>
      </c>
      <c r="S77" t="s">
        <v>181</v>
      </c>
      <c r="T77" t="s">
        <v>263</v>
      </c>
      <c r="U77">
        <v>4718</v>
      </c>
      <c r="V77">
        <v>0</v>
      </c>
      <c r="W77">
        <v>345</v>
      </c>
      <c r="AC77" t="s">
        <v>262</v>
      </c>
      <c r="AD77">
        <v>0</v>
      </c>
      <c r="AE77">
        <v>0</v>
      </c>
      <c r="AF77">
        <v>0</v>
      </c>
      <c r="AG77">
        <v>0</v>
      </c>
      <c r="AH77">
        <v>0</v>
      </c>
      <c r="AI77">
        <v>0</v>
      </c>
    </row>
    <row r="78" spans="1:35" x14ac:dyDescent="0.45">
      <c r="A78" t="s">
        <v>199</v>
      </c>
      <c r="B78" t="s">
        <v>199</v>
      </c>
      <c r="C78" t="s">
        <v>261</v>
      </c>
      <c r="D78" t="s">
        <v>260</v>
      </c>
      <c r="E78" t="s">
        <v>259</v>
      </c>
      <c r="F78" t="s">
        <v>122</v>
      </c>
      <c r="G78" t="s">
        <v>121</v>
      </c>
      <c r="J78">
        <v>2000</v>
      </c>
      <c r="L78" t="s">
        <v>258</v>
      </c>
      <c r="M78" t="s">
        <v>257</v>
      </c>
      <c r="N78" t="s">
        <v>256</v>
      </c>
      <c r="O78" t="s">
        <v>255</v>
      </c>
      <c r="P78">
        <v>37.413497999999997</v>
      </c>
      <c r="Q78">
        <v>127.124486</v>
      </c>
      <c r="R78" t="s">
        <v>254</v>
      </c>
      <c r="S78" t="s">
        <v>253</v>
      </c>
      <c r="T78" t="s">
        <v>252</v>
      </c>
      <c r="U78">
        <v>3623</v>
      </c>
      <c r="V78">
        <v>0</v>
      </c>
      <c r="W78">
        <v>2536</v>
      </c>
      <c r="AD78">
        <v>0</v>
      </c>
      <c r="AE78">
        <v>0</v>
      </c>
      <c r="AF78">
        <v>0</v>
      </c>
      <c r="AG78">
        <v>0</v>
      </c>
      <c r="AH78">
        <v>3</v>
      </c>
      <c r="AI78">
        <v>1</v>
      </c>
    </row>
    <row r="79" spans="1:35" x14ac:dyDescent="0.45">
      <c r="A79" t="s">
        <v>199</v>
      </c>
      <c r="B79" t="s">
        <v>199</v>
      </c>
      <c r="C79" t="s">
        <v>251</v>
      </c>
      <c r="D79" t="s">
        <v>250</v>
      </c>
      <c r="E79" t="s">
        <v>249</v>
      </c>
      <c r="F79" t="s">
        <v>122</v>
      </c>
      <c r="G79" t="s">
        <v>121</v>
      </c>
      <c r="K79">
        <v>3</v>
      </c>
      <c r="L79" t="s">
        <v>248</v>
      </c>
      <c r="M79" t="s">
        <v>194</v>
      </c>
      <c r="O79">
        <v>16683</v>
      </c>
      <c r="P79">
        <v>37.257281999999996</v>
      </c>
      <c r="Q79">
        <v>127.058931</v>
      </c>
      <c r="R79" t="s">
        <v>247</v>
      </c>
      <c r="S79" t="s">
        <v>246</v>
      </c>
      <c r="T79" t="s">
        <v>245</v>
      </c>
      <c r="U79">
        <v>14397</v>
      </c>
      <c r="V79">
        <v>0</v>
      </c>
      <c r="W79">
        <v>2050</v>
      </c>
      <c r="AD79">
        <v>0</v>
      </c>
      <c r="AE79">
        <v>0</v>
      </c>
      <c r="AF79">
        <v>0</v>
      </c>
      <c r="AG79">
        <v>0</v>
      </c>
      <c r="AH79">
        <v>0</v>
      </c>
      <c r="AI79">
        <v>0</v>
      </c>
    </row>
    <row r="80" spans="1:35" x14ac:dyDescent="0.45">
      <c r="A80" t="s">
        <v>199</v>
      </c>
      <c r="B80" t="s">
        <v>199</v>
      </c>
      <c r="C80" t="s">
        <v>244</v>
      </c>
      <c r="D80" t="s">
        <v>243</v>
      </c>
      <c r="E80" t="s">
        <v>196</v>
      </c>
      <c r="F80" t="s">
        <v>122</v>
      </c>
      <c r="G80" t="s">
        <v>121</v>
      </c>
      <c r="H80">
        <v>10</v>
      </c>
      <c r="L80" t="s">
        <v>242</v>
      </c>
      <c r="M80" t="s">
        <v>241</v>
      </c>
      <c r="O80">
        <v>63010</v>
      </c>
      <c r="P80">
        <v>36.56344</v>
      </c>
      <c r="Q80">
        <v>128.47085799999999</v>
      </c>
      <c r="R80" t="s">
        <v>240</v>
      </c>
      <c r="S80" t="s">
        <v>192</v>
      </c>
      <c r="T80" t="s">
        <v>239</v>
      </c>
      <c r="U80">
        <v>15219</v>
      </c>
      <c r="V80">
        <v>0</v>
      </c>
      <c r="W80">
        <v>4063</v>
      </c>
      <c r="Y80">
        <v>105808</v>
      </c>
      <c r="Z80">
        <v>9830</v>
      </c>
      <c r="AD80">
        <v>0</v>
      </c>
      <c r="AE80">
        <v>0</v>
      </c>
      <c r="AF80">
        <v>0</v>
      </c>
      <c r="AG80">
        <v>0</v>
      </c>
      <c r="AH80">
        <v>0</v>
      </c>
      <c r="AI80">
        <v>0</v>
      </c>
    </row>
    <row r="81" spans="1:35" x14ac:dyDescent="0.45">
      <c r="A81" t="s">
        <v>199</v>
      </c>
      <c r="B81" t="s">
        <v>199</v>
      </c>
      <c r="C81" t="s">
        <v>238</v>
      </c>
      <c r="D81" t="s">
        <v>237</v>
      </c>
      <c r="E81" t="s">
        <v>236</v>
      </c>
      <c r="F81" t="s">
        <v>123</v>
      </c>
      <c r="G81" t="s">
        <v>121</v>
      </c>
      <c r="H81">
        <v>260</v>
      </c>
      <c r="L81" t="s">
        <v>235</v>
      </c>
      <c r="M81" t="s">
        <v>234</v>
      </c>
      <c r="O81" t="s">
        <v>171</v>
      </c>
      <c r="R81" t="s">
        <v>233</v>
      </c>
      <c r="S81" t="s">
        <v>232</v>
      </c>
      <c r="T81" t="s">
        <v>231</v>
      </c>
      <c r="U81">
        <v>13982</v>
      </c>
      <c r="V81">
        <v>0</v>
      </c>
      <c r="W81">
        <v>12920</v>
      </c>
      <c r="AD81">
        <v>0</v>
      </c>
      <c r="AE81">
        <v>0</v>
      </c>
      <c r="AF81">
        <v>0</v>
      </c>
      <c r="AG81">
        <v>0</v>
      </c>
      <c r="AH81">
        <v>0</v>
      </c>
      <c r="AI81">
        <v>0</v>
      </c>
    </row>
    <row r="82" spans="1:35" x14ac:dyDescent="0.45">
      <c r="A82" t="s">
        <v>199</v>
      </c>
      <c r="B82" t="s">
        <v>199</v>
      </c>
      <c r="C82" t="s">
        <v>226</v>
      </c>
      <c r="D82" t="s">
        <v>230</v>
      </c>
      <c r="E82" t="s">
        <v>224</v>
      </c>
      <c r="F82" t="s">
        <v>122</v>
      </c>
      <c r="G82" t="s">
        <v>121</v>
      </c>
      <c r="J82">
        <v>1996</v>
      </c>
      <c r="L82" t="s">
        <v>229</v>
      </c>
      <c r="M82" t="s">
        <v>203</v>
      </c>
      <c r="O82">
        <v>16910</v>
      </c>
      <c r="P82">
        <v>37.305675000000001</v>
      </c>
      <c r="Q82">
        <v>127.13846100000001</v>
      </c>
      <c r="R82" t="s">
        <v>228</v>
      </c>
      <c r="S82" t="s">
        <v>221</v>
      </c>
      <c r="T82" t="s">
        <v>227</v>
      </c>
      <c r="U82">
        <v>12185</v>
      </c>
      <c r="V82">
        <v>0</v>
      </c>
      <c r="W82">
        <v>12137</v>
      </c>
      <c r="AD82">
        <v>0</v>
      </c>
      <c r="AE82">
        <v>0</v>
      </c>
      <c r="AF82">
        <v>0</v>
      </c>
      <c r="AG82">
        <v>0</v>
      </c>
      <c r="AH82">
        <v>0</v>
      </c>
      <c r="AI82">
        <v>0</v>
      </c>
    </row>
    <row r="83" spans="1:35" x14ac:dyDescent="0.45">
      <c r="A83" t="s">
        <v>199</v>
      </c>
      <c r="B83" t="s">
        <v>199</v>
      </c>
      <c r="C83" t="s">
        <v>226</v>
      </c>
      <c r="D83" t="s">
        <v>225</v>
      </c>
      <c r="E83" t="s">
        <v>224</v>
      </c>
      <c r="F83" t="s">
        <v>122</v>
      </c>
      <c r="G83" t="s">
        <v>121</v>
      </c>
      <c r="J83">
        <v>2020</v>
      </c>
      <c r="L83" t="s">
        <v>223</v>
      </c>
      <c r="M83" t="s">
        <v>203</v>
      </c>
      <c r="O83">
        <v>16910</v>
      </c>
      <c r="P83">
        <v>37.305047000000002</v>
      </c>
      <c r="Q83">
        <v>127.139059</v>
      </c>
      <c r="R83" t="s">
        <v>222</v>
      </c>
      <c r="S83" t="s">
        <v>221</v>
      </c>
      <c r="T83" t="s">
        <v>220</v>
      </c>
      <c r="U83">
        <v>12186</v>
      </c>
      <c r="V83">
        <v>0</v>
      </c>
      <c r="W83">
        <v>12137</v>
      </c>
      <c r="AD83">
        <v>0</v>
      </c>
      <c r="AE83">
        <v>0</v>
      </c>
      <c r="AF83">
        <v>0</v>
      </c>
      <c r="AG83">
        <v>0</v>
      </c>
      <c r="AH83">
        <v>1</v>
      </c>
      <c r="AI83">
        <v>0</v>
      </c>
    </row>
    <row r="84" spans="1:35" x14ac:dyDescent="0.45">
      <c r="A84" t="s">
        <v>199</v>
      </c>
      <c r="B84" t="s">
        <v>199</v>
      </c>
      <c r="C84" t="s">
        <v>207</v>
      </c>
      <c r="D84" t="s">
        <v>219</v>
      </c>
      <c r="E84" t="s">
        <v>218</v>
      </c>
      <c r="F84" t="s">
        <v>170</v>
      </c>
      <c r="G84" t="s">
        <v>121</v>
      </c>
      <c r="H84">
        <v>24</v>
      </c>
      <c r="K84">
        <v>3</v>
      </c>
      <c r="L84" t="s">
        <v>217</v>
      </c>
      <c r="M84" t="s">
        <v>194</v>
      </c>
      <c r="O84">
        <v>16890</v>
      </c>
      <c r="P84">
        <v>37.332039000000002</v>
      </c>
      <c r="Q84">
        <v>127.13242700000001</v>
      </c>
      <c r="R84" t="s">
        <v>216</v>
      </c>
      <c r="S84" t="s">
        <v>215</v>
      </c>
      <c r="T84" t="s">
        <v>214</v>
      </c>
      <c r="U84">
        <v>10932</v>
      </c>
      <c r="V84">
        <v>0</v>
      </c>
      <c r="W84">
        <v>11770</v>
      </c>
      <c r="Y84">
        <v>127830</v>
      </c>
      <c r="Z84">
        <v>11876</v>
      </c>
      <c r="AA84">
        <v>268449</v>
      </c>
      <c r="AB84">
        <v>24940</v>
      </c>
      <c r="AD84">
        <v>0</v>
      </c>
      <c r="AE84">
        <v>0</v>
      </c>
      <c r="AF84">
        <v>0</v>
      </c>
      <c r="AG84">
        <v>0</v>
      </c>
      <c r="AH84">
        <v>0</v>
      </c>
      <c r="AI84">
        <v>0</v>
      </c>
    </row>
    <row r="85" spans="1:35" x14ac:dyDescent="0.45">
      <c r="A85" t="s">
        <v>199</v>
      </c>
      <c r="B85" t="s">
        <v>199</v>
      </c>
      <c r="C85" t="s">
        <v>207</v>
      </c>
      <c r="D85" t="s">
        <v>213</v>
      </c>
      <c r="E85" t="s">
        <v>212</v>
      </c>
      <c r="F85" t="s">
        <v>170</v>
      </c>
      <c r="G85" t="s">
        <v>121</v>
      </c>
      <c r="L85" t="s">
        <v>211</v>
      </c>
      <c r="M85" t="s">
        <v>194</v>
      </c>
      <c r="O85">
        <v>16882</v>
      </c>
      <c r="P85">
        <v>37.328617999999999</v>
      </c>
      <c r="Q85">
        <v>127.134079</v>
      </c>
      <c r="R85" t="s">
        <v>210</v>
      </c>
      <c r="S85" t="s">
        <v>209</v>
      </c>
      <c r="T85" t="s">
        <v>208</v>
      </c>
      <c r="U85">
        <v>14220</v>
      </c>
      <c r="V85">
        <v>0</v>
      </c>
      <c r="W85">
        <v>9903</v>
      </c>
      <c r="Y85">
        <v>1066369</v>
      </c>
      <c r="Z85">
        <v>99070</v>
      </c>
      <c r="AD85">
        <v>0</v>
      </c>
      <c r="AE85">
        <v>0</v>
      </c>
      <c r="AF85">
        <v>0</v>
      </c>
      <c r="AG85">
        <v>0</v>
      </c>
      <c r="AH85">
        <v>0</v>
      </c>
      <c r="AI85">
        <v>0</v>
      </c>
    </row>
    <row r="86" spans="1:35" x14ac:dyDescent="0.45">
      <c r="A86" t="s">
        <v>199</v>
      </c>
      <c r="B86" t="s">
        <v>199</v>
      </c>
      <c r="C86" t="s">
        <v>207</v>
      </c>
      <c r="D86" t="s">
        <v>206</v>
      </c>
      <c r="E86" t="s">
        <v>205</v>
      </c>
      <c r="F86" t="s">
        <v>122</v>
      </c>
      <c r="G86" t="s">
        <v>121</v>
      </c>
      <c r="L86" t="s">
        <v>204</v>
      </c>
      <c r="M86" t="s">
        <v>203</v>
      </c>
      <c r="O86">
        <v>16837</v>
      </c>
      <c r="P86">
        <v>37.337747999999998</v>
      </c>
      <c r="Q86">
        <v>127.104337</v>
      </c>
      <c r="R86" t="s">
        <v>202</v>
      </c>
      <c r="S86" t="s">
        <v>201</v>
      </c>
      <c r="T86" t="s">
        <v>200</v>
      </c>
      <c r="U86">
        <v>12165</v>
      </c>
      <c r="V86">
        <v>0</v>
      </c>
      <c r="W86">
        <v>12132</v>
      </c>
      <c r="AA86">
        <v>29062</v>
      </c>
      <c r="AB86">
        <v>2700</v>
      </c>
      <c r="AD86">
        <v>0</v>
      </c>
      <c r="AE86">
        <v>0</v>
      </c>
      <c r="AF86">
        <v>0</v>
      </c>
      <c r="AG86">
        <v>0</v>
      </c>
      <c r="AH86">
        <v>1</v>
      </c>
      <c r="AI86">
        <v>0</v>
      </c>
    </row>
    <row r="87" spans="1:35" x14ac:dyDescent="0.45">
      <c r="A87" t="s">
        <v>199</v>
      </c>
      <c r="B87" t="s">
        <v>199</v>
      </c>
      <c r="C87" t="s">
        <v>198</v>
      </c>
      <c r="D87" t="s">
        <v>197</v>
      </c>
      <c r="E87" t="s">
        <v>196</v>
      </c>
      <c r="F87" t="s">
        <v>122</v>
      </c>
      <c r="G87" t="s">
        <v>121</v>
      </c>
      <c r="L87" t="s">
        <v>195</v>
      </c>
      <c r="M87" t="s">
        <v>194</v>
      </c>
      <c r="O87">
        <v>4363</v>
      </c>
      <c r="P87">
        <v>37.535384000000001</v>
      </c>
      <c r="Q87">
        <v>126.958994</v>
      </c>
      <c r="R87" t="s">
        <v>193</v>
      </c>
      <c r="S87" t="s">
        <v>192</v>
      </c>
      <c r="T87" t="s">
        <v>191</v>
      </c>
      <c r="U87">
        <v>12162</v>
      </c>
      <c r="V87">
        <v>0</v>
      </c>
      <c r="W87">
        <v>4063</v>
      </c>
      <c r="AD87">
        <v>0</v>
      </c>
      <c r="AE87">
        <v>0</v>
      </c>
      <c r="AF87">
        <v>0</v>
      </c>
      <c r="AG87">
        <v>0</v>
      </c>
      <c r="AH87">
        <v>0</v>
      </c>
      <c r="AI87">
        <v>0</v>
      </c>
    </row>
  </sheetData>
  <autoFilter ref="A1:AK1" xr:uid="{00000000-0009-0000-0000-00000C000000}"/>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219E-FB25-44B5-ABEE-583F6D00478B}">
  <dimension ref="A1:J93"/>
  <sheetViews>
    <sheetView tabSelected="1" topLeftCell="A46" workbookViewId="0">
      <selection activeCell="C25" sqref="C25"/>
    </sheetView>
  </sheetViews>
  <sheetFormatPr defaultRowHeight="17" x14ac:dyDescent="0.45"/>
  <cols>
    <col min="1" max="1" width="18.4140625" customWidth="1"/>
    <col min="2" max="2" width="35.25" customWidth="1"/>
    <col min="3" max="3" width="39.6640625" customWidth="1"/>
    <col min="4" max="4" width="46.9140625" customWidth="1"/>
    <col min="5" max="5" width="17.4140625" customWidth="1"/>
  </cols>
  <sheetData>
    <row r="1" spans="1:10" x14ac:dyDescent="0.45">
      <c r="A1" t="s">
        <v>665</v>
      </c>
    </row>
    <row r="2" spans="1:10" x14ac:dyDescent="0.45">
      <c r="A2" s="41" t="s">
        <v>666</v>
      </c>
      <c r="B2" t="s">
        <v>667</v>
      </c>
      <c r="C2" t="s">
        <v>668</v>
      </c>
      <c r="D2" t="s">
        <v>669</v>
      </c>
      <c r="E2" t="s">
        <v>670</v>
      </c>
      <c r="F2" t="s">
        <v>671</v>
      </c>
      <c r="G2" t="s">
        <v>672</v>
      </c>
      <c r="H2" t="s">
        <v>673</v>
      </c>
      <c r="I2" t="s">
        <v>674</v>
      </c>
      <c r="J2" t="s">
        <v>675</v>
      </c>
    </row>
    <row r="3" spans="1:10" x14ac:dyDescent="0.45">
      <c r="A3" s="41">
        <v>1</v>
      </c>
      <c r="B3" t="s">
        <v>305</v>
      </c>
      <c r="C3" t="s">
        <v>304</v>
      </c>
      <c r="D3" t="s">
        <v>676</v>
      </c>
    </row>
    <row r="4" spans="1:10" x14ac:dyDescent="0.45">
      <c r="A4" s="41">
        <v>2</v>
      </c>
      <c r="B4" t="s">
        <v>277</v>
      </c>
      <c r="C4" t="s">
        <v>249</v>
      </c>
      <c r="D4" t="s">
        <v>677</v>
      </c>
      <c r="E4" t="s">
        <v>678</v>
      </c>
    </row>
    <row r="5" spans="1:10" x14ac:dyDescent="0.45">
      <c r="A5" s="41">
        <v>3</v>
      </c>
      <c r="B5" t="s">
        <v>281</v>
      </c>
      <c r="C5" t="s">
        <v>186</v>
      </c>
      <c r="D5" t="s">
        <v>679</v>
      </c>
    </row>
    <row r="6" spans="1:10" x14ac:dyDescent="0.45">
      <c r="A6" s="41">
        <v>4</v>
      </c>
      <c r="B6" t="s">
        <v>315</v>
      </c>
      <c r="C6" t="s">
        <v>224</v>
      </c>
      <c r="D6" t="s">
        <v>680</v>
      </c>
      <c r="E6" t="s">
        <v>681</v>
      </c>
    </row>
    <row r="7" spans="1:10" x14ac:dyDescent="0.45">
      <c r="A7" s="41">
        <v>5</v>
      </c>
      <c r="B7" t="s">
        <v>340</v>
      </c>
      <c r="C7" t="s">
        <v>196</v>
      </c>
      <c r="D7" t="s">
        <v>682</v>
      </c>
      <c r="E7" t="s">
        <v>683</v>
      </c>
    </row>
    <row r="8" spans="1:10" x14ac:dyDescent="0.45">
      <c r="A8" s="41">
        <v>6</v>
      </c>
      <c r="B8" t="s">
        <v>335</v>
      </c>
      <c r="C8" t="s">
        <v>196</v>
      </c>
      <c r="D8" t="s">
        <v>684</v>
      </c>
      <c r="E8" t="s">
        <v>683</v>
      </c>
    </row>
    <row r="9" spans="1:10" x14ac:dyDescent="0.45">
      <c r="A9" s="41">
        <v>7</v>
      </c>
      <c r="B9" t="s">
        <v>344</v>
      </c>
      <c r="C9" t="s">
        <v>196</v>
      </c>
      <c r="D9" t="s">
        <v>685</v>
      </c>
      <c r="E9" t="s">
        <v>683</v>
      </c>
    </row>
    <row r="10" spans="1:10" x14ac:dyDescent="0.45">
      <c r="A10" s="41">
        <v>8</v>
      </c>
      <c r="B10" t="s">
        <v>348</v>
      </c>
      <c r="C10" t="s">
        <v>196</v>
      </c>
      <c r="D10" t="s">
        <v>686</v>
      </c>
      <c r="E10" t="s">
        <v>683</v>
      </c>
    </row>
    <row r="11" spans="1:10" x14ac:dyDescent="0.45">
      <c r="A11" s="41">
        <v>9</v>
      </c>
      <c r="B11" t="s">
        <v>358</v>
      </c>
      <c r="C11" t="s">
        <v>196</v>
      </c>
      <c r="D11" t="s">
        <v>687</v>
      </c>
      <c r="E11" t="s">
        <v>683</v>
      </c>
    </row>
    <row r="12" spans="1:10" x14ac:dyDescent="0.45">
      <c r="A12" s="41">
        <v>10</v>
      </c>
      <c r="B12" t="s">
        <v>291</v>
      </c>
      <c r="C12" t="s">
        <v>286</v>
      </c>
      <c r="D12" t="s">
        <v>688</v>
      </c>
      <c r="E12" t="s">
        <v>689</v>
      </c>
    </row>
    <row r="13" spans="1:10" x14ac:dyDescent="0.45">
      <c r="A13" s="41">
        <v>11</v>
      </c>
      <c r="B13" t="s">
        <v>287</v>
      </c>
      <c r="C13" t="s">
        <v>286</v>
      </c>
      <c r="D13" t="s">
        <v>690</v>
      </c>
      <c r="E13" t="s">
        <v>689</v>
      </c>
    </row>
    <row r="14" spans="1:10" x14ac:dyDescent="0.45">
      <c r="A14" s="41">
        <v>12</v>
      </c>
      <c r="B14" t="s">
        <v>467</v>
      </c>
      <c r="C14" t="s">
        <v>461</v>
      </c>
      <c r="D14" t="s">
        <v>691</v>
      </c>
      <c r="E14" t="s">
        <v>692</v>
      </c>
    </row>
    <row r="15" spans="1:10" x14ac:dyDescent="0.45">
      <c r="A15" s="41">
        <v>13</v>
      </c>
      <c r="B15" t="s">
        <v>462</v>
      </c>
      <c r="C15" t="s">
        <v>461</v>
      </c>
      <c r="D15" t="s">
        <v>693</v>
      </c>
      <c r="E15" t="s">
        <v>692</v>
      </c>
    </row>
    <row r="16" spans="1:10" x14ac:dyDescent="0.45">
      <c r="A16" s="41">
        <v>14</v>
      </c>
      <c r="B16" t="s">
        <v>557</v>
      </c>
      <c r="C16" t="s">
        <v>461</v>
      </c>
      <c r="D16" t="s">
        <v>685</v>
      </c>
      <c r="E16" t="s">
        <v>692</v>
      </c>
    </row>
    <row r="17" spans="1:5" x14ac:dyDescent="0.45">
      <c r="A17" s="41">
        <v>15</v>
      </c>
      <c r="B17" t="s">
        <v>568</v>
      </c>
      <c r="C17" t="s">
        <v>461</v>
      </c>
      <c r="D17" t="s">
        <v>694</v>
      </c>
      <c r="E17" t="s">
        <v>692</v>
      </c>
    </row>
    <row r="18" spans="1:5" x14ac:dyDescent="0.45">
      <c r="A18" s="41">
        <v>16</v>
      </c>
      <c r="B18" t="s">
        <v>354</v>
      </c>
      <c r="C18" t="s">
        <v>353</v>
      </c>
      <c r="D18" t="s">
        <v>676</v>
      </c>
    </row>
    <row r="19" spans="1:5" x14ac:dyDescent="0.45">
      <c r="A19" s="41">
        <v>17</v>
      </c>
      <c r="B19" t="s">
        <v>395</v>
      </c>
      <c r="C19" t="s">
        <v>218</v>
      </c>
      <c r="D19" t="s">
        <v>695</v>
      </c>
      <c r="E19" t="s">
        <v>696</v>
      </c>
    </row>
    <row r="20" spans="1:5" x14ac:dyDescent="0.45">
      <c r="A20" s="41">
        <v>18</v>
      </c>
      <c r="B20" t="s">
        <v>311</v>
      </c>
      <c r="C20" t="s">
        <v>310</v>
      </c>
      <c r="D20" t="s">
        <v>697</v>
      </c>
    </row>
    <row r="21" spans="1:5" x14ac:dyDescent="0.45">
      <c r="A21" s="41">
        <v>19</v>
      </c>
      <c r="B21" t="s">
        <v>273</v>
      </c>
      <c r="C21" t="s">
        <v>130</v>
      </c>
      <c r="D21" t="s">
        <v>698</v>
      </c>
      <c r="E21" t="s">
        <v>699</v>
      </c>
    </row>
    <row r="22" spans="1:5" x14ac:dyDescent="0.45">
      <c r="A22" s="41">
        <v>20</v>
      </c>
      <c r="B22" t="s">
        <v>323</v>
      </c>
      <c r="C22" t="s">
        <v>212</v>
      </c>
      <c r="D22" t="s">
        <v>700</v>
      </c>
      <c r="E22" t="s">
        <v>701</v>
      </c>
    </row>
    <row r="23" spans="1:5" x14ac:dyDescent="0.45">
      <c r="A23" s="41">
        <v>21</v>
      </c>
      <c r="B23" t="s">
        <v>319</v>
      </c>
      <c r="C23" t="s">
        <v>212</v>
      </c>
      <c r="D23" t="s">
        <v>702</v>
      </c>
      <c r="E23" t="s">
        <v>701</v>
      </c>
    </row>
    <row r="24" spans="1:5" x14ac:dyDescent="0.45">
      <c r="A24" s="41">
        <v>22</v>
      </c>
      <c r="B24" t="s">
        <v>417</v>
      </c>
      <c r="C24" t="s">
        <v>703</v>
      </c>
      <c r="D24" t="s">
        <v>704</v>
      </c>
      <c r="E24" t="s">
        <v>705</v>
      </c>
    </row>
    <row r="25" spans="1:5" x14ac:dyDescent="0.45">
      <c r="A25" s="41">
        <v>23</v>
      </c>
      <c r="B25" t="s">
        <v>390</v>
      </c>
      <c r="C25" t="s">
        <v>132</v>
      </c>
      <c r="D25" t="s">
        <v>706</v>
      </c>
      <c r="E25" t="s">
        <v>707</v>
      </c>
    </row>
    <row r="26" spans="1:5" x14ac:dyDescent="0.45">
      <c r="A26" s="41">
        <v>24</v>
      </c>
      <c r="B26" t="s">
        <v>563</v>
      </c>
      <c r="D26" t="s">
        <v>676</v>
      </c>
    </row>
    <row r="27" spans="1:5" x14ac:dyDescent="0.45">
      <c r="A27" s="41">
        <v>25</v>
      </c>
      <c r="B27" t="s">
        <v>377</v>
      </c>
      <c r="D27" t="s">
        <v>685</v>
      </c>
      <c r="E27" t="s">
        <v>708</v>
      </c>
    </row>
    <row r="28" spans="1:5" x14ac:dyDescent="0.45">
      <c r="A28" s="41">
        <v>26</v>
      </c>
      <c r="B28" t="s">
        <v>362</v>
      </c>
      <c r="D28" t="s">
        <v>687</v>
      </c>
    </row>
    <row r="29" spans="1:5" x14ac:dyDescent="0.45">
      <c r="A29" s="41">
        <v>27</v>
      </c>
      <c r="B29" t="s">
        <v>384</v>
      </c>
      <c r="D29" t="s">
        <v>709</v>
      </c>
      <c r="E29" t="s">
        <v>710</v>
      </c>
    </row>
    <row r="30" spans="1:5" x14ac:dyDescent="0.45">
      <c r="A30" s="41">
        <v>28</v>
      </c>
      <c r="B30" t="s">
        <v>268</v>
      </c>
      <c r="D30" t="s">
        <v>711</v>
      </c>
    </row>
    <row r="31" spans="1:5" x14ac:dyDescent="0.45">
      <c r="A31" s="41">
        <v>29</v>
      </c>
      <c r="B31" t="s">
        <v>478</v>
      </c>
      <c r="D31" t="s">
        <v>690</v>
      </c>
    </row>
    <row r="32" spans="1:5" x14ac:dyDescent="0.45">
      <c r="A32" s="41">
        <v>30</v>
      </c>
      <c r="B32" t="s">
        <v>298</v>
      </c>
      <c r="D32" t="s">
        <v>690</v>
      </c>
    </row>
    <row r="33" spans="1:5" x14ac:dyDescent="0.45">
      <c r="A33" s="41">
        <v>31</v>
      </c>
      <c r="B33" t="s">
        <v>712</v>
      </c>
      <c r="D33" t="s">
        <v>713</v>
      </c>
    </row>
    <row r="34" spans="1:5" x14ac:dyDescent="0.45">
      <c r="A34" s="41">
        <v>32</v>
      </c>
      <c r="B34" t="s">
        <v>327</v>
      </c>
      <c r="D34" t="s">
        <v>711</v>
      </c>
    </row>
    <row r="35" spans="1:5" x14ac:dyDescent="0.45">
      <c r="A35" s="41">
        <v>33</v>
      </c>
      <c r="B35" t="s">
        <v>714</v>
      </c>
      <c r="C35" t="s">
        <v>175</v>
      </c>
      <c r="D35" t="s">
        <v>715</v>
      </c>
      <c r="E35" t="s">
        <v>716</v>
      </c>
    </row>
    <row r="36" spans="1:5" x14ac:dyDescent="0.45">
      <c r="A36" s="41">
        <v>34</v>
      </c>
      <c r="B36" t="s">
        <v>366</v>
      </c>
      <c r="C36" t="s">
        <v>188</v>
      </c>
      <c r="D36" t="s">
        <v>717</v>
      </c>
    </row>
    <row r="37" spans="1:5" x14ac:dyDescent="0.45">
      <c r="A37" s="41">
        <v>35</v>
      </c>
      <c r="B37" t="s">
        <v>472</v>
      </c>
      <c r="C37" t="s">
        <v>128</v>
      </c>
      <c r="D37" t="s">
        <v>718</v>
      </c>
      <c r="E37" t="s">
        <v>719</v>
      </c>
    </row>
    <row r="38" spans="1:5" x14ac:dyDescent="0.45">
      <c r="A38" s="41">
        <v>36</v>
      </c>
      <c r="B38" t="s">
        <v>498</v>
      </c>
      <c r="C38" t="s">
        <v>132</v>
      </c>
      <c r="D38" t="s">
        <v>720</v>
      </c>
    </row>
    <row r="39" spans="1:5" x14ac:dyDescent="0.45">
      <c r="A39" s="41">
        <v>37</v>
      </c>
      <c r="B39" t="s">
        <v>540</v>
      </c>
      <c r="C39" t="s">
        <v>286</v>
      </c>
      <c r="D39" t="s">
        <v>721</v>
      </c>
      <c r="E39" t="s">
        <v>689</v>
      </c>
    </row>
    <row r="40" spans="1:5" x14ac:dyDescent="0.45">
      <c r="A40" s="41">
        <v>38</v>
      </c>
      <c r="B40" t="s">
        <v>405</v>
      </c>
      <c r="C40" t="s">
        <v>286</v>
      </c>
      <c r="D40" t="s">
        <v>722</v>
      </c>
      <c r="E40" t="s">
        <v>689</v>
      </c>
    </row>
    <row r="41" spans="1:5" x14ac:dyDescent="0.45">
      <c r="A41" s="41">
        <v>39</v>
      </c>
      <c r="B41" t="s">
        <v>250</v>
      </c>
      <c r="C41" t="s">
        <v>249</v>
      </c>
      <c r="D41" t="s">
        <v>723</v>
      </c>
      <c r="E41" t="s">
        <v>678</v>
      </c>
    </row>
    <row r="42" spans="1:5" x14ac:dyDescent="0.45">
      <c r="A42" s="41">
        <v>40</v>
      </c>
      <c r="B42" t="s">
        <v>724</v>
      </c>
      <c r="C42" t="s">
        <v>212</v>
      </c>
      <c r="D42" t="s">
        <v>725</v>
      </c>
    </row>
    <row r="43" spans="1:5" x14ac:dyDescent="0.45">
      <c r="A43" s="41">
        <v>41</v>
      </c>
      <c r="B43" t="s">
        <v>726</v>
      </c>
      <c r="C43" t="s">
        <v>212</v>
      </c>
      <c r="D43" t="s">
        <v>725</v>
      </c>
    </row>
    <row r="44" spans="1:5" x14ac:dyDescent="0.45">
      <c r="A44" s="41">
        <v>42</v>
      </c>
      <c r="B44" t="s">
        <v>727</v>
      </c>
      <c r="C44" t="s">
        <v>212</v>
      </c>
      <c r="D44" t="s">
        <v>725</v>
      </c>
    </row>
    <row r="45" spans="1:5" x14ac:dyDescent="0.45">
      <c r="A45" s="41">
        <v>43</v>
      </c>
      <c r="B45" t="s">
        <v>508</v>
      </c>
      <c r="C45" t="s">
        <v>212</v>
      </c>
      <c r="D45" t="s">
        <v>728</v>
      </c>
    </row>
    <row r="46" spans="1:5" x14ac:dyDescent="0.45">
      <c r="A46" s="41">
        <v>44</v>
      </c>
      <c r="B46" t="s">
        <v>213</v>
      </c>
      <c r="C46" t="s">
        <v>212</v>
      </c>
      <c r="D46" t="s">
        <v>729</v>
      </c>
    </row>
    <row r="47" spans="1:5" x14ac:dyDescent="0.45">
      <c r="A47" s="41">
        <v>45</v>
      </c>
      <c r="B47" t="s">
        <v>521</v>
      </c>
      <c r="C47" t="s">
        <v>461</v>
      </c>
      <c r="D47" t="s">
        <v>730</v>
      </c>
      <c r="E47" t="s">
        <v>692</v>
      </c>
    </row>
    <row r="48" spans="1:5" x14ac:dyDescent="0.45">
      <c r="A48" s="41">
        <v>46</v>
      </c>
      <c r="B48" t="s">
        <v>731</v>
      </c>
      <c r="D48" t="s">
        <v>732</v>
      </c>
    </row>
    <row r="49" spans="1:7" x14ac:dyDescent="0.45">
      <c r="A49" s="41">
        <v>47</v>
      </c>
      <c r="B49" t="s">
        <v>584</v>
      </c>
      <c r="C49" t="s">
        <v>128</v>
      </c>
      <c r="D49" t="s">
        <v>733</v>
      </c>
    </row>
    <row r="50" spans="1:7" x14ac:dyDescent="0.45">
      <c r="A50" s="41">
        <v>48</v>
      </c>
      <c r="B50" t="s">
        <v>580</v>
      </c>
      <c r="C50" t="s">
        <v>128</v>
      </c>
      <c r="D50" t="s">
        <v>733</v>
      </c>
    </row>
    <row r="51" spans="1:7" x14ac:dyDescent="0.45">
      <c r="A51" s="41">
        <v>49</v>
      </c>
      <c r="B51" t="s">
        <v>574</v>
      </c>
      <c r="C51" t="s">
        <v>128</v>
      </c>
      <c r="D51" t="s">
        <v>733</v>
      </c>
    </row>
    <row r="52" spans="1:7" x14ac:dyDescent="0.45">
      <c r="A52" s="41">
        <v>50</v>
      </c>
      <c r="B52" t="s">
        <v>502</v>
      </c>
      <c r="C52" t="s">
        <v>249</v>
      </c>
      <c r="D52" t="s">
        <v>734</v>
      </c>
    </row>
    <row r="53" spans="1:7" x14ac:dyDescent="0.45">
      <c r="A53" s="41">
        <v>51</v>
      </c>
      <c r="B53" t="s">
        <v>225</v>
      </c>
      <c r="D53" t="s">
        <v>735</v>
      </c>
    </row>
    <row r="54" spans="1:7" x14ac:dyDescent="0.45">
      <c r="A54" s="41">
        <v>52</v>
      </c>
      <c r="B54" t="s">
        <v>219</v>
      </c>
      <c r="C54" t="s">
        <v>218</v>
      </c>
      <c r="D54" t="s">
        <v>736</v>
      </c>
      <c r="E54" t="s">
        <v>696</v>
      </c>
    </row>
    <row r="55" spans="1:7" x14ac:dyDescent="0.45">
      <c r="A55" s="41">
        <v>53</v>
      </c>
      <c r="B55" t="s">
        <v>488</v>
      </c>
      <c r="C55" t="s">
        <v>212</v>
      </c>
      <c r="D55" t="s">
        <v>737</v>
      </c>
      <c r="E55" t="s">
        <v>701</v>
      </c>
    </row>
    <row r="56" spans="1:7" x14ac:dyDescent="0.45">
      <c r="A56" s="41">
        <v>54</v>
      </c>
      <c r="B56" t="s">
        <v>738</v>
      </c>
      <c r="C56" t="s">
        <v>739</v>
      </c>
      <c r="D56" t="s">
        <v>740</v>
      </c>
      <c r="G56">
        <v>50</v>
      </c>
    </row>
    <row r="57" spans="1:7" x14ac:dyDescent="0.45">
      <c r="A57" s="41">
        <v>55</v>
      </c>
      <c r="B57" t="s">
        <v>423</v>
      </c>
      <c r="C57" t="s">
        <v>126</v>
      </c>
      <c r="D57" t="s">
        <v>741</v>
      </c>
      <c r="F57" t="s">
        <v>742</v>
      </c>
    </row>
    <row r="58" spans="1:7" x14ac:dyDescent="0.45">
      <c r="A58" s="41">
        <v>56</v>
      </c>
      <c r="B58" t="s">
        <v>743</v>
      </c>
      <c r="C58" t="s">
        <v>744</v>
      </c>
      <c r="D58" t="s">
        <v>740</v>
      </c>
      <c r="G58">
        <v>120</v>
      </c>
    </row>
    <row r="59" spans="1:7" x14ac:dyDescent="0.45">
      <c r="A59" s="41">
        <v>57</v>
      </c>
      <c r="B59" t="s">
        <v>745</v>
      </c>
      <c r="C59" t="s">
        <v>746</v>
      </c>
      <c r="D59" t="s">
        <v>747</v>
      </c>
      <c r="E59" t="s">
        <v>748</v>
      </c>
    </row>
    <row r="60" spans="1:7" x14ac:dyDescent="0.45">
      <c r="A60" s="41">
        <v>58</v>
      </c>
      <c r="B60" t="s">
        <v>634</v>
      </c>
      <c r="C60" t="s">
        <v>196</v>
      </c>
      <c r="D60" t="s">
        <v>749</v>
      </c>
    </row>
    <row r="61" spans="1:7" x14ac:dyDescent="0.45">
      <c r="A61" s="41">
        <v>59</v>
      </c>
      <c r="B61" t="s">
        <v>629</v>
      </c>
      <c r="C61" t="s">
        <v>437</v>
      </c>
      <c r="D61" t="s">
        <v>750</v>
      </c>
    </row>
    <row r="62" spans="1:7" x14ac:dyDescent="0.45">
      <c r="A62" s="41">
        <v>60</v>
      </c>
      <c r="B62" t="s">
        <v>643</v>
      </c>
      <c r="C62" t="s">
        <v>188</v>
      </c>
      <c r="D62" t="s">
        <v>751</v>
      </c>
    </row>
    <row r="63" spans="1:7" x14ac:dyDescent="0.45">
      <c r="A63" s="41">
        <v>61</v>
      </c>
      <c r="B63" t="s">
        <v>647</v>
      </c>
      <c r="C63" t="s">
        <v>703</v>
      </c>
      <c r="D63" t="s">
        <v>752</v>
      </c>
      <c r="E63" t="s">
        <v>705</v>
      </c>
    </row>
    <row r="64" spans="1:7" x14ac:dyDescent="0.45">
      <c r="A64" s="41">
        <v>62</v>
      </c>
      <c r="B64" t="s">
        <v>438</v>
      </c>
      <c r="C64" t="s">
        <v>437</v>
      </c>
      <c r="D64" t="s">
        <v>753</v>
      </c>
      <c r="E64" t="s">
        <v>754</v>
      </c>
      <c r="F64" t="s">
        <v>742</v>
      </c>
      <c r="G64">
        <v>270</v>
      </c>
    </row>
    <row r="65" spans="1:7" x14ac:dyDescent="0.45">
      <c r="A65" s="41">
        <v>63</v>
      </c>
      <c r="B65" t="s">
        <v>431</v>
      </c>
      <c r="D65" t="s">
        <v>755</v>
      </c>
    </row>
    <row r="66" spans="1:7" x14ac:dyDescent="0.45">
      <c r="A66" s="41">
        <v>64</v>
      </c>
      <c r="B66" t="s">
        <v>651</v>
      </c>
      <c r="C66" t="s">
        <v>756</v>
      </c>
      <c r="D66" t="s">
        <v>757</v>
      </c>
      <c r="E66" t="s">
        <v>758</v>
      </c>
    </row>
    <row r="67" spans="1:7" x14ac:dyDescent="0.45">
      <c r="A67" s="41">
        <v>65</v>
      </c>
      <c r="B67" t="s">
        <v>442</v>
      </c>
      <c r="C67" t="s">
        <v>703</v>
      </c>
      <c r="D67" t="s">
        <v>759</v>
      </c>
    </row>
    <row r="68" spans="1:7" x14ac:dyDescent="0.45">
      <c r="A68" s="41">
        <v>66</v>
      </c>
      <c r="B68" t="s">
        <v>615</v>
      </c>
      <c r="C68" t="s">
        <v>132</v>
      </c>
      <c r="D68" t="s">
        <v>760</v>
      </c>
    </row>
    <row r="69" spans="1:7" x14ac:dyDescent="0.45">
      <c r="A69" s="41">
        <v>67</v>
      </c>
      <c r="B69" t="s">
        <v>610</v>
      </c>
      <c r="C69" t="s">
        <v>212</v>
      </c>
      <c r="D69" t="s">
        <v>761</v>
      </c>
    </row>
    <row r="70" spans="1:7" x14ac:dyDescent="0.45">
      <c r="A70" s="41">
        <v>68</v>
      </c>
      <c r="B70" t="s">
        <v>606</v>
      </c>
      <c r="C70" t="s">
        <v>173</v>
      </c>
      <c r="D70" t="s">
        <v>762</v>
      </c>
    </row>
    <row r="71" spans="1:7" x14ac:dyDescent="0.45">
      <c r="A71" s="41">
        <v>69</v>
      </c>
      <c r="B71" t="s">
        <v>552</v>
      </c>
      <c r="C71" t="s">
        <v>196</v>
      </c>
      <c r="D71" t="s">
        <v>763</v>
      </c>
    </row>
    <row r="72" spans="1:7" x14ac:dyDescent="0.45">
      <c r="A72" s="41">
        <v>70</v>
      </c>
      <c r="B72" t="s">
        <v>764</v>
      </c>
      <c r="C72" t="s">
        <v>765</v>
      </c>
      <c r="D72" t="s">
        <v>766</v>
      </c>
    </row>
    <row r="73" spans="1:7" x14ac:dyDescent="0.45">
      <c r="A73" s="41">
        <v>71</v>
      </c>
      <c r="B73" t="s">
        <v>594</v>
      </c>
      <c r="C73" t="s">
        <v>437</v>
      </c>
      <c r="D73" t="s">
        <v>767</v>
      </c>
      <c r="G73">
        <v>40</v>
      </c>
    </row>
    <row r="74" spans="1:7" x14ac:dyDescent="0.45">
      <c r="A74" s="41">
        <v>72</v>
      </c>
      <c r="B74" t="s">
        <v>589</v>
      </c>
      <c r="C74" t="s">
        <v>249</v>
      </c>
      <c r="D74" t="s">
        <v>768</v>
      </c>
    </row>
    <row r="75" spans="1:7" x14ac:dyDescent="0.45">
      <c r="A75" s="41">
        <v>73</v>
      </c>
      <c r="B75" t="s">
        <v>601</v>
      </c>
      <c r="C75" t="s">
        <v>600</v>
      </c>
      <c r="D75" t="s">
        <v>769</v>
      </c>
    </row>
    <row r="76" spans="1:7" x14ac:dyDescent="0.45">
      <c r="A76" s="41">
        <v>74</v>
      </c>
      <c r="B76" t="s">
        <v>243</v>
      </c>
      <c r="C76" t="s">
        <v>196</v>
      </c>
      <c r="D76" t="s">
        <v>770</v>
      </c>
      <c r="G76">
        <v>10</v>
      </c>
    </row>
    <row r="77" spans="1:7" x14ac:dyDescent="0.45">
      <c r="A77" s="41">
        <v>75</v>
      </c>
      <c r="B77" t="s">
        <v>535</v>
      </c>
      <c r="C77" t="s">
        <v>249</v>
      </c>
      <c r="D77" t="s">
        <v>771</v>
      </c>
    </row>
    <row r="78" spans="1:7" x14ac:dyDescent="0.45">
      <c r="A78" s="41">
        <v>76</v>
      </c>
      <c r="B78" t="s">
        <v>772</v>
      </c>
      <c r="C78" t="s">
        <v>773</v>
      </c>
      <c r="D78" t="s">
        <v>774</v>
      </c>
      <c r="G78">
        <v>100</v>
      </c>
    </row>
    <row r="79" spans="1:7" x14ac:dyDescent="0.45">
      <c r="A79" s="41">
        <v>77</v>
      </c>
      <c r="B79" t="s">
        <v>775</v>
      </c>
      <c r="C79" t="s">
        <v>776</v>
      </c>
      <c r="D79" t="s">
        <v>777</v>
      </c>
      <c r="G79">
        <v>300</v>
      </c>
    </row>
    <row r="80" spans="1:7" x14ac:dyDescent="0.45">
      <c r="A80" s="41">
        <v>78</v>
      </c>
      <c r="B80" t="s">
        <v>237</v>
      </c>
      <c r="C80" t="s">
        <v>236</v>
      </c>
      <c r="D80" t="s">
        <v>778</v>
      </c>
      <c r="G80">
        <v>260</v>
      </c>
    </row>
    <row r="81" spans="1:7" x14ac:dyDescent="0.45">
      <c r="A81" s="41">
        <v>79</v>
      </c>
      <c r="B81" t="s">
        <v>455</v>
      </c>
      <c r="C81" t="s">
        <v>126</v>
      </c>
      <c r="D81" t="s">
        <v>779</v>
      </c>
      <c r="F81" t="s">
        <v>742</v>
      </c>
      <c r="G81">
        <v>103</v>
      </c>
    </row>
    <row r="82" spans="1:7" x14ac:dyDescent="0.45">
      <c r="A82" s="41">
        <v>80</v>
      </c>
      <c r="B82" t="s">
        <v>260</v>
      </c>
      <c r="C82" t="s">
        <v>259</v>
      </c>
      <c r="D82" t="s">
        <v>780</v>
      </c>
    </row>
    <row r="83" spans="1:7" x14ac:dyDescent="0.45">
      <c r="A83" s="41">
        <v>81</v>
      </c>
      <c r="B83" t="s">
        <v>410</v>
      </c>
      <c r="C83" t="s">
        <v>196</v>
      </c>
      <c r="D83" t="s">
        <v>781</v>
      </c>
    </row>
    <row r="84" spans="1:7" x14ac:dyDescent="0.45">
      <c r="A84" s="41">
        <v>82</v>
      </c>
      <c r="B84" t="s">
        <v>782</v>
      </c>
      <c r="C84" t="s">
        <v>461</v>
      </c>
      <c r="D84" t="s">
        <v>783</v>
      </c>
    </row>
    <row r="85" spans="1:7" x14ac:dyDescent="0.45">
      <c r="A85" s="41">
        <v>83</v>
      </c>
      <c r="B85" t="s">
        <v>784</v>
      </c>
      <c r="C85" t="s">
        <v>286</v>
      </c>
      <c r="D85" t="s">
        <v>785</v>
      </c>
    </row>
    <row r="86" spans="1:7" x14ac:dyDescent="0.45">
      <c r="A86" s="41">
        <v>84</v>
      </c>
      <c r="B86" t="s">
        <v>230</v>
      </c>
      <c r="C86" t="s">
        <v>224</v>
      </c>
      <c r="D86" t="s">
        <v>786</v>
      </c>
    </row>
    <row r="87" spans="1:7" x14ac:dyDescent="0.45">
      <c r="A87" s="41">
        <v>85</v>
      </c>
      <c r="B87" t="s">
        <v>206</v>
      </c>
      <c r="C87" t="s">
        <v>787</v>
      </c>
      <c r="D87" t="s">
        <v>788</v>
      </c>
    </row>
    <row r="88" spans="1:7" x14ac:dyDescent="0.45">
      <c r="A88" s="41">
        <v>86</v>
      </c>
      <c r="B88" t="s">
        <v>619</v>
      </c>
      <c r="C88" t="s">
        <v>461</v>
      </c>
      <c r="D88" t="s">
        <v>789</v>
      </c>
    </row>
    <row r="89" spans="1:7" x14ac:dyDescent="0.45">
      <c r="A89" s="41">
        <v>87</v>
      </c>
      <c r="B89" t="s">
        <v>331</v>
      </c>
      <c r="C89" t="s">
        <v>196</v>
      </c>
      <c r="D89" t="s">
        <v>790</v>
      </c>
    </row>
    <row r="90" spans="1:7" x14ac:dyDescent="0.45">
      <c r="A90" s="41">
        <v>88</v>
      </c>
      <c r="B90" t="s">
        <v>197</v>
      </c>
      <c r="C90" t="s">
        <v>196</v>
      </c>
      <c r="D90" t="s">
        <v>791</v>
      </c>
    </row>
    <row r="91" spans="1:7" x14ac:dyDescent="0.45">
      <c r="A91" s="41">
        <v>89</v>
      </c>
      <c r="B91" t="s">
        <v>792</v>
      </c>
      <c r="C91" t="s">
        <v>430</v>
      </c>
      <c r="D91" t="s">
        <v>793</v>
      </c>
    </row>
    <row r="92" spans="1:7" x14ac:dyDescent="0.45">
      <c r="A92" s="41">
        <v>90</v>
      </c>
      <c r="B92" t="s">
        <v>794</v>
      </c>
      <c r="C92" t="s">
        <v>175</v>
      </c>
      <c r="D92" t="s">
        <v>795</v>
      </c>
    </row>
    <row r="93" spans="1:7" x14ac:dyDescent="0.45">
      <c r="A93" s="41">
        <v>91</v>
      </c>
      <c r="B93" t="s">
        <v>449</v>
      </c>
      <c r="C93" t="s">
        <v>756</v>
      </c>
      <c r="D93" t="s">
        <v>796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3d18167-29df-473e-beac-126cbe9d82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BA936DBAFA27469531DBFADC4F6FC7" ma:contentTypeVersion="19" ma:contentTypeDescription="Create a new document." ma:contentTypeScope="" ma:versionID="176947adc0129e2df102fc5a3ae76ad5">
  <xsd:schema xmlns:xsd="http://www.w3.org/2001/XMLSchema" xmlns:xs="http://www.w3.org/2001/XMLSchema" xmlns:p="http://schemas.microsoft.com/office/2006/metadata/properties" xmlns:ns3="73d18167-29df-473e-beac-126cbe9d827a" xmlns:ns4="fd5e3b8b-bb01-4ad8-a7fa-8c0d869f38f8" targetNamespace="http://schemas.microsoft.com/office/2006/metadata/properties" ma:root="true" ma:fieldsID="f09ba83ce392a3c6be973953609cc74b" ns3:_="" ns4:_="">
    <xsd:import namespace="73d18167-29df-473e-beac-126cbe9d827a"/>
    <xsd:import namespace="fd5e3b8b-bb01-4ad8-a7fa-8c0d869f38f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4:SharedWithUsers" minOccurs="0"/>
                <xsd:element ref="ns4:SharedWithDetails" minOccurs="0"/>
                <xsd:element ref="ns4:SharingHintHash" minOccurs="0"/>
                <xsd:element ref="ns3:MediaServiceSearchProperties" minOccurs="0"/>
                <xsd:element ref="ns3:_activity" minOccurs="0"/>
                <xsd:element ref="ns3:MediaServiceObjectDetectorVersion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d18167-29df-473e-beac-126cbe9d82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5e3b8b-bb01-4ad8-a7fa-8c0d869f38f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6E7CBB3-E9DC-4462-9356-59CD26C8D81A}">
  <ds:schemaRefs>
    <ds:schemaRef ds:uri="http://purl.org/dc/dcmitype/"/>
    <ds:schemaRef ds:uri="http://purl.org/dc/terms/"/>
    <ds:schemaRef ds:uri="http://schemas.microsoft.com/office/infopath/2007/PartnerControls"/>
    <ds:schemaRef ds:uri="73d18167-29df-473e-beac-126cbe9d827a"/>
    <ds:schemaRef ds:uri="fd5e3b8b-bb01-4ad8-a7fa-8c0d869f38f8"/>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102E67E-DD69-4FE5-854B-62F77F66E378}">
  <ds:schemaRefs>
    <ds:schemaRef ds:uri="http://schemas.microsoft.com/sharepoint/v3/contenttype/forms"/>
  </ds:schemaRefs>
</ds:datastoreItem>
</file>

<file path=customXml/itemProps3.xml><?xml version="1.0" encoding="utf-8"?>
<ds:datastoreItem xmlns:ds="http://schemas.openxmlformats.org/officeDocument/2006/customXml" ds:itemID="{328C26D2-EB08-49B2-BE1C-0E2E414470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d18167-29df-473e-beac-126cbe9d827a"/>
    <ds:schemaRef ds:uri="fd5e3b8b-bb01-4ad8-a7fa-8c0d869f38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99F4DBD-70D0-4729-BCC6-079C36B72D84}">
  <ds:schemaRefs>
    <ds:schemaRef ds:uri="http://schemas.microsoft.com/DataMashup"/>
  </ds:schemaRefs>
</ds:datastoreItem>
</file>

<file path=docMetadata/LabelInfo.xml><?xml version="1.0" encoding="utf-8"?>
<clbl:labelList xmlns:clbl="http://schemas.microsoft.com/office/2020/mipLabelMetadata">
  <clbl:label id="{9d16294b-7040-47e1-b2e5-64d6dc7364ff}" enabled="1" method="Standard" siteId="{c84d9378-ad95-4040-9258-2ed1ae880de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Sheet1</vt:lpstr>
      <vt:lpstr>Topics</vt:lpstr>
      <vt:lpstr>Sheet3</vt:lpstr>
      <vt:lpstr>South Korea (86)</vt:lpstr>
      <vt:lpstr>Datacenter list in Korea from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White</dc:creator>
  <cp:lastModifiedBy>Kyujin Lee</cp:lastModifiedBy>
  <dcterms:created xsi:type="dcterms:W3CDTF">2025-07-09T18:29:12Z</dcterms:created>
  <dcterms:modified xsi:type="dcterms:W3CDTF">2026-04-27T05:40:46Z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0x0101006ABA936DBAFA27469531DBFADC4F6FC7</vt:lpwstr>
  </property>
</Properties>
</file>